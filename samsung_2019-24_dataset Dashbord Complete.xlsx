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D:\Uday Kakad\EXCEL\"/>
    </mc:Choice>
  </mc:AlternateContent>
  <xr:revisionPtr revIDLastSave="0" documentId="13_ncr:1_{2738148C-A812-4AEE-B9DD-ACF15DEADBF1}" xr6:coauthVersionLast="47" xr6:coauthVersionMax="47" xr10:uidLastSave="{00000000-0000-0000-0000-000000000000}"/>
  <bookViews>
    <workbookView xWindow="-108" yWindow="-108" windowWidth="23256" windowHeight="12456" activeTab="3" xr2:uid="{2806F9E7-F33D-4110-A58B-4C7D45DE05DD}"/>
  </bookViews>
  <sheets>
    <sheet name="Expanded_ Main Dataset" sheetId="1" r:id="rId1"/>
    <sheet name="copy data" sheetId="3" r:id="rId2"/>
    <sheet name="Pivot Table" sheetId="4" r:id="rId3"/>
    <sheet name="DASHBORD" sheetId="5" r:id="rId4"/>
  </sheets>
  <definedNames>
    <definedName name="Slicer_5G_Capability">#N/A</definedName>
    <definedName name="Slicer_Quarter">#N/A</definedName>
    <definedName name="Slicer_Region">#N/A</definedName>
    <definedName name="Slicer_Yea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4" l="1"/>
  <c r="C5" i="4"/>
  <c r="B5" i="4"/>
</calcChain>
</file>

<file path=xl/sharedStrings.xml><?xml version="1.0" encoding="utf-8"?>
<sst xmlns="http://schemas.openxmlformats.org/spreadsheetml/2006/main" count="8106" uniqueCount="48">
  <si>
    <t>Year</t>
  </si>
  <si>
    <t>Quarter</t>
  </si>
  <si>
    <t>Product Model</t>
  </si>
  <si>
    <t>5G Capability</t>
  </si>
  <si>
    <t>Units Sold</t>
  </si>
  <si>
    <t>Revenue ($)</t>
  </si>
  <si>
    <t>Market Share (%)</t>
  </si>
  <si>
    <t>Regional 5G Coverage (%)</t>
  </si>
  <si>
    <t>5G Subscribers (millions)</t>
  </si>
  <si>
    <t>Avg 5G Speed (Mbps)</t>
  </si>
  <si>
    <t>Preference for 5G (%)</t>
  </si>
  <si>
    <t>Region</t>
  </si>
  <si>
    <t>Q1</t>
  </si>
  <si>
    <t>Galaxy S10</t>
  </si>
  <si>
    <t>No</t>
  </si>
  <si>
    <t>Asia-Pacific</t>
  </si>
  <si>
    <t>Galaxy Note10</t>
  </si>
  <si>
    <t>Latin America</t>
  </si>
  <si>
    <t>Galaxy S20</t>
  </si>
  <si>
    <t>Middle East &amp; Africa</t>
  </si>
  <si>
    <t>Galaxy Note20</t>
  </si>
  <si>
    <t>North America</t>
  </si>
  <si>
    <t>Galaxy S21</t>
  </si>
  <si>
    <t>Galaxy A32 5G</t>
  </si>
  <si>
    <t>Yes</t>
  </si>
  <si>
    <t>Galaxy A52 5G</t>
  </si>
  <si>
    <t>Galaxy A73 5G</t>
  </si>
  <si>
    <t>Europe</t>
  </si>
  <si>
    <t>Galaxy Z Fold2 5G</t>
  </si>
  <si>
    <t>Galaxy Z Flip3 5G</t>
  </si>
  <si>
    <t>Galaxy S22 5G</t>
  </si>
  <si>
    <t>Galaxy Z Fold3 5G</t>
  </si>
  <si>
    <t>Galaxy A14 5G</t>
  </si>
  <si>
    <t>Galaxy S23 5G</t>
  </si>
  <si>
    <t>Galaxy Z Flip5 5G</t>
  </si>
  <si>
    <t>Q2</t>
  </si>
  <si>
    <t>Q3</t>
  </si>
  <si>
    <t>Q4</t>
  </si>
  <si>
    <t>Sum of Revenue ($)</t>
  </si>
  <si>
    <t>Sum of Units Sold</t>
  </si>
  <si>
    <t>Sum of 5G Subscribers (millions)</t>
  </si>
  <si>
    <t>Row Labels</t>
  </si>
  <si>
    <t>Grand Total</t>
  </si>
  <si>
    <t>Average of Market Share (%)</t>
  </si>
  <si>
    <t>Average of Regional 5G Coverage (%)</t>
  </si>
  <si>
    <t>Average of 5G Subscribers (millions)</t>
  </si>
  <si>
    <t>Average of Avg 5G Speed (Mbps)</t>
  </si>
  <si>
    <t>Average of Preference for 5G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</si>
</sst>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quot;$&quot;* #,##0.00_);_(&quot;$&quot;* \(#,##0.00\);_(&quot;$&quot;* &quot;-&quot;??_);_(@_)"/>
    <numFmt numFmtId="165" formatCode="&quot;₹&quot;\ #,##0"/>
    <numFmt numFmtId="166" formatCode="\$0.0,,,\ &quot;B&quot;"/>
    <numFmt numFmtId="167" formatCode="\$#,##0.0,,\ &quot;M&quot;"/>
    <numFmt numFmtId="168" formatCode="0.00\ &quot;M&quot;"/>
  </numFmts>
  <fonts count="18" x14ac:knownFonts="1">
    <font>
      <sz val="11"/>
      <color theme="1"/>
      <name val="Tw Cen MT"/>
      <family val="2"/>
      <scheme val="minor"/>
    </font>
    <font>
      <sz val="11"/>
      <color theme="1"/>
      <name val="Tw Cen MT"/>
      <family val="2"/>
      <scheme val="minor"/>
    </font>
    <font>
      <sz val="18"/>
      <color theme="3"/>
      <name val="Tw Cen MT Condensed"/>
      <family val="2"/>
      <scheme val="major"/>
    </font>
    <font>
      <b/>
      <sz val="15"/>
      <color theme="3"/>
      <name val="Tw Cen MT"/>
      <family val="2"/>
      <scheme val="minor"/>
    </font>
    <font>
      <b/>
      <sz val="13"/>
      <color theme="3"/>
      <name val="Tw Cen MT"/>
      <family val="2"/>
      <scheme val="minor"/>
    </font>
    <font>
      <b/>
      <sz val="11"/>
      <color theme="3"/>
      <name val="Tw Cen MT"/>
      <family val="2"/>
      <scheme val="minor"/>
    </font>
    <font>
      <sz val="11"/>
      <color rgb="FF006100"/>
      <name val="Tw Cen MT"/>
      <family val="2"/>
      <scheme val="minor"/>
    </font>
    <font>
      <sz val="11"/>
      <color rgb="FF9C0006"/>
      <name val="Tw Cen MT"/>
      <family val="2"/>
      <scheme val="minor"/>
    </font>
    <font>
      <sz val="11"/>
      <color rgb="FF9C5700"/>
      <name val="Tw Cen MT"/>
      <family val="2"/>
      <scheme val="minor"/>
    </font>
    <font>
      <sz val="11"/>
      <color rgb="FF3F3F76"/>
      <name val="Tw Cen MT"/>
      <family val="2"/>
      <scheme val="minor"/>
    </font>
    <font>
      <b/>
      <sz val="11"/>
      <color rgb="FF3F3F3F"/>
      <name val="Tw Cen MT"/>
      <family val="2"/>
      <scheme val="minor"/>
    </font>
    <font>
      <b/>
      <sz val="11"/>
      <color rgb="FFFA7D00"/>
      <name val="Tw Cen MT"/>
      <family val="2"/>
      <scheme val="minor"/>
    </font>
    <font>
      <sz val="11"/>
      <color rgb="FFFA7D00"/>
      <name val="Tw Cen MT"/>
      <family val="2"/>
      <scheme val="minor"/>
    </font>
    <font>
      <b/>
      <sz val="11"/>
      <color theme="0"/>
      <name val="Tw Cen MT"/>
      <family val="2"/>
      <scheme val="minor"/>
    </font>
    <font>
      <sz val="11"/>
      <color rgb="FFFF0000"/>
      <name val="Tw Cen MT"/>
      <family val="2"/>
      <scheme val="minor"/>
    </font>
    <font>
      <i/>
      <sz val="11"/>
      <color rgb="FF7F7F7F"/>
      <name val="Tw Cen MT"/>
      <family val="2"/>
      <scheme val="minor"/>
    </font>
    <font>
      <b/>
      <sz val="11"/>
      <color theme="1"/>
      <name val="Tw Cen MT"/>
      <family val="2"/>
      <scheme val="minor"/>
    </font>
    <font>
      <sz val="11"/>
      <color theme="0"/>
      <name val="Tw Cen MT"/>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4"/>
        <bgColor theme="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style="thin">
        <color theme="4" tint="0.39997558519241921"/>
      </top>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164" fontId="1" fillId="0" borderId="0" applyFont="0" applyFill="0" applyBorder="0" applyAlignment="0" applyProtection="0"/>
    <xf numFmtId="9" fontId="1" fillId="0" borderId="0" applyFont="0" applyFill="0" applyBorder="0" applyAlignment="0" applyProtection="0"/>
  </cellStyleXfs>
  <cellXfs count="43">
    <xf numFmtId="0" fontId="0" fillId="0" borderId="0" xfId="0"/>
    <xf numFmtId="4" fontId="0" fillId="0" borderId="0" xfId="0" applyNumberFormat="1"/>
    <xf numFmtId="164" fontId="0" fillId="0" borderId="0" xfId="42" applyFont="1"/>
    <xf numFmtId="0" fontId="0" fillId="0" borderId="10" xfId="0" applyBorder="1"/>
    <xf numFmtId="0" fontId="0" fillId="0" borderId="11" xfId="0" applyBorder="1"/>
    <xf numFmtId="0" fontId="0" fillId="0" borderId="12" xfId="0" applyBorder="1"/>
    <xf numFmtId="0" fontId="13" fillId="34" borderId="14" xfId="0" applyFont="1" applyFill="1" applyBorder="1"/>
    <xf numFmtId="0" fontId="13" fillId="34" borderId="13" xfId="0" applyFont="1" applyFill="1" applyBorder="1"/>
    <xf numFmtId="4" fontId="13" fillId="34" borderId="13" xfId="0" applyNumberFormat="1" applyFont="1" applyFill="1" applyBorder="1"/>
    <xf numFmtId="164" fontId="13" fillId="34" borderId="13" xfId="42" applyFont="1" applyFill="1" applyBorder="1"/>
    <xf numFmtId="0" fontId="13" fillId="34" borderId="15" xfId="0" applyFont="1" applyFill="1" applyBorder="1"/>
    <xf numFmtId="0" fontId="0" fillId="33" borderId="14" xfId="0" applyFill="1" applyBorder="1"/>
    <xf numFmtId="0" fontId="0" fillId="33" borderId="13" xfId="0" applyFill="1" applyBorder="1"/>
    <xf numFmtId="4" fontId="0" fillId="33" borderId="13" xfId="0" applyNumberFormat="1" applyFill="1" applyBorder="1"/>
    <xf numFmtId="164" fontId="0" fillId="33" borderId="13" xfId="42" applyFont="1" applyFill="1" applyBorder="1"/>
    <xf numFmtId="0" fontId="0" fillId="33" borderId="15" xfId="0" applyFill="1" applyBorder="1"/>
    <xf numFmtId="0" fontId="0" fillId="0" borderId="14" xfId="0" applyBorder="1"/>
    <xf numFmtId="0" fontId="0" fillId="0" borderId="13" xfId="0" applyBorder="1"/>
    <xf numFmtId="4" fontId="0" fillId="0" borderId="13" xfId="0" applyNumberFormat="1" applyBorder="1"/>
    <xf numFmtId="164" fontId="0" fillId="0" borderId="13" xfId="42" applyFont="1" applyBorder="1"/>
    <xf numFmtId="0" fontId="0" fillId="0" borderId="15" xfId="0" applyBorder="1"/>
    <xf numFmtId="4" fontId="0" fillId="0" borderId="11" xfId="0" applyNumberFormat="1" applyBorder="1"/>
    <xf numFmtId="164" fontId="0" fillId="0" borderId="11" xfId="42" applyFont="1" applyBorder="1"/>
    <xf numFmtId="165" fontId="0" fillId="33" borderId="13" xfId="42" applyNumberFormat="1" applyFont="1" applyFill="1" applyBorder="1"/>
    <xf numFmtId="165" fontId="0" fillId="0" borderId="13" xfId="42" applyNumberFormat="1" applyFont="1" applyBorder="1"/>
    <xf numFmtId="165" fontId="0" fillId="0" borderId="0" xfId="0" applyNumberFormat="1"/>
    <xf numFmtId="9" fontId="0" fillId="33" borderId="13" xfId="43" applyFont="1" applyFill="1" applyBorder="1"/>
    <xf numFmtId="9" fontId="0" fillId="0" borderId="13" xfId="43" applyFont="1" applyBorder="1"/>
    <xf numFmtId="9" fontId="0" fillId="0" borderId="0" xfId="43" applyFont="1"/>
    <xf numFmtId="9" fontId="0" fillId="33" borderId="13" xfId="0" applyNumberFormat="1" applyFill="1" applyBorder="1"/>
    <xf numFmtId="9" fontId="0" fillId="0" borderId="13" xfId="0" applyNumberFormat="1" applyBorder="1"/>
    <xf numFmtId="9" fontId="0" fillId="0" borderId="0" xfId="0" applyNumberFormat="1"/>
    <xf numFmtId="0" fontId="13" fillId="34" borderId="0" xfId="0" applyFont="1" applyFill="1"/>
    <xf numFmtId="4" fontId="13" fillId="34" borderId="0" xfId="0" applyNumberFormat="1" applyFont="1" applyFill="1"/>
    <xf numFmtId="165" fontId="13" fillId="34" borderId="0" xfId="42" applyNumberFormat="1" applyFont="1" applyFill="1" applyBorder="1"/>
    <xf numFmtId="9" fontId="13" fillId="34" borderId="0" xfId="0" applyNumberFormat="1" applyFont="1" applyFill="1"/>
    <xf numFmtId="9" fontId="13" fillId="34" borderId="0" xfId="43" applyFont="1" applyFill="1" applyBorder="1"/>
    <xf numFmtId="0" fontId="0" fillId="0" borderId="0" xfId="0" pivotButton="1"/>
    <xf numFmtId="0" fontId="0" fillId="0" borderId="0" xfId="0" applyAlignment="1">
      <alignment horizontal="left"/>
    </xf>
    <xf numFmtId="166" fontId="0" fillId="0" borderId="0" xfId="0" applyNumberFormat="1"/>
    <xf numFmtId="167" fontId="0" fillId="0" borderId="0" xfId="0" applyNumberFormat="1"/>
    <xf numFmtId="168" fontId="0" fillId="0" borderId="0" xfId="0" applyNumberFormat="1"/>
    <xf numFmtId="0" fontId="0" fillId="0" borderId="0" xfId="0" applyNumberFormat="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18">
    <dxf>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Tw Cen MT"/>
        <family val="2"/>
        <scheme val="minor"/>
      </font>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numFmt numFmtId="13" formatCode="0%"/>
      <border diagonalUp="0" diagonalDown="0">
        <left/>
        <right/>
        <top style="thin">
          <color theme="4" tint="0.39997558519241921"/>
        </top>
        <bottom/>
        <vertical/>
        <horizontal/>
      </border>
    </dxf>
    <dxf>
      <numFmt numFmtId="13" formatCode="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Tw Cen MT"/>
        <family val="2"/>
        <scheme val="minor"/>
      </font>
      <numFmt numFmtId="165" formatCode="&quot;₹&quot;\ #,##0"/>
      <border diagonalUp="0" diagonalDown="0">
        <left/>
        <right/>
        <top style="thin">
          <color theme="4" tint="0.39997558519241921"/>
        </top>
        <bottom/>
        <vertical/>
        <horizontal/>
      </border>
    </dxf>
    <dxf>
      <numFmt numFmtId="4" formatCode="#,##0.00"/>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Tw Cen MT"/>
        <family val="2"/>
        <scheme val="minor"/>
      </font>
      <fill>
        <patternFill patternType="solid">
          <fgColor theme="4"/>
          <bgColor theme="4"/>
        </patternFill>
      </fill>
    </dxf>
    <dxf>
      <font>
        <color theme="0"/>
      </font>
      <fill>
        <patternFill>
          <bgColor theme="4" tint="-0.499984740745262"/>
        </patternFill>
      </fill>
      <border>
        <bottom style="thin">
          <color theme="7"/>
        </bottom>
        <vertical/>
        <horizontal/>
      </border>
    </dxf>
    <dxf>
      <font>
        <b val="0"/>
        <i val="0"/>
        <sz val="9"/>
        <color theme="1"/>
        <name val="Tw Cen MT Condensed"/>
        <family val="2"/>
        <scheme val="major"/>
      </font>
      <fill>
        <patternFill>
          <bgColor theme="4" tint="-0.499984740745262"/>
        </patternFill>
      </fill>
      <border>
        <left style="thin">
          <color theme="7"/>
        </left>
        <right style="thin">
          <color theme="7"/>
        </right>
        <top style="thin">
          <color theme="7"/>
        </top>
        <bottom style="thin">
          <color theme="7"/>
        </bottom>
        <vertical/>
        <horizontal/>
      </border>
    </dxf>
    <dxf>
      <font>
        <b/>
        <i val="0"/>
        <u val="none"/>
        <sz val="10"/>
        <color theme="0"/>
        <name val="Tw Cen MT Condensed"/>
        <family val="2"/>
        <scheme val="major"/>
      </font>
    </dxf>
    <dxf>
      <font>
        <b val="0"/>
        <i val="0"/>
        <u/>
        <sz val="9"/>
        <color rgb="FF002060"/>
        <name val="Tw Cen MT"/>
        <family val="2"/>
        <scheme val="minor"/>
      </font>
      <fill>
        <patternFill>
          <bgColor rgb="FF002060"/>
        </patternFill>
      </fill>
    </dxf>
  </dxfs>
  <tableStyles count="2" defaultTableStyle="TableStyleMedium2" defaultPivotStyle="PivotStyleLight16">
    <tableStyle name="Slicer Style 1" pivot="0" table="0" count="10" xr9:uid="{EE48094A-3A06-4CC6-A649-7DBB3245D7F4}">
      <tableStyleElement type="wholeTable" dxfId="17"/>
      <tableStyleElement type="headerRow" dxfId="16"/>
    </tableStyle>
    <tableStyle name="SlicerStyleDark4 2" pivot="0" table="0" count="10" xr9:uid="{CBFEB1FE-6467-4408-A362-8401F371D131}">
      <tableStyleElement type="wholeTable" dxfId="15"/>
      <tableStyleElement type="headerRow" dxfId="14"/>
    </tableStyle>
  </tableStyles>
  <colors>
    <mruColors>
      <color rgb="FF000000"/>
      <color rgb="FF605080"/>
      <color rgb="FF3A1953"/>
      <color rgb="FF8522C2"/>
      <color rgb="FF461E64"/>
      <color rgb="FF271137"/>
      <color rgb="FFA58EFA"/>
      <color rgb="FF441D61"/>
      <color rgb="FF254379"/>
      <color rgb="FF1F4F7B"/>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002060"/>
            </patternFill>
          </fill>
          <border>
            <left style="thin">
              <color rgb="FF999999"/>
            </left>
            <right style="thin">
              <color rgb="FF999999"/>
            </right>
            <top style="thin">
              <color rgb="FF999999"/>
            </top>
            <bottom style="thin">
              <color rgb="FF999999"/>
            </bottom>
            <vertical/>
            <horizontal/>
          </border>
        </dxf>
        <dxf>
          <font>
            <color rgb="FF002060"/>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8" tint="-0.499984740745262"/>
              <bgColor theme="7"/>
            </patternFill>
          </fill>
          <border>
            <left style="thin">
              <color theme="7"/>
            </left>
            <right style="thin">
              <color theme="7"/>
            </right>
            <top style="thin">
              <color theme="7"/>
            </top>
            <bottom style="thin">
              <color theme="7"/>
            </bottom>
            <vertical/>
            <horizontal/>
          </border>
        </dxf>
        <dxf>
          <font>
            <color rgb="FF002060"/>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theme="0" tint="-4.9989318521683403E-2"/>
          </font>
          <fill>
            <patternFill>
              <bgColor rgb="FF002060"/>
            </patternFill>
          </fill>
        </dxf>
        <dxf>
          <font>
            <color theme="0" tint="-0.14996795556505021"/>
          </font>
          <fill>
            <patternFill>
              <bgColor theme="4" tint="-0.24994659260841701"/>
            </patternFill>
          </fill>
        </dxf>
        <dxf>
          <font>
            <color theme="0" tint="-4.9989318521683403E-2"/>
          </font>
          <fill>
            <patternFill>
              <bgColor rgb="FF7030A0"/>
            </patternFill>
          </fill>
        </dxf>
        <dxf>
          <font>
            <color theme="0" tint="-4.9989318521683403E-2"/>
          </font>
          <fill>
            <patternFill>
              <bgColor theme="4" tint="-0.24994659260841701"/>
            </patternFill>
          </fill>
        </dxf>
        <dxf>
          <font>
            <color theme="0"/>
          </font>
          <fill>
            <patternFill>
              <bgColor rgb="FF002060"/>
            </patternFill>
          </fill>
        </dxf>
        <dxf>
          <font>
            <u val="none"/>
            <color theme="0"/>
          </font>
          <fill>
            <patternFill>
              <bgColor rgb="FF7030A0"/>
            </patternFill>
          </fill>
        </dxf>
        <dxf>
          <font>
            <color theme="0" tint="-0.14996795556505021"/>
          </font>
          <fill>
            <patternFill>
              <bgColor rgb="FF002060"/>
            </patternFill>
          </fill>
        </dxf>
        <dxf>
          <font>
            <u val="none"/>
            <color theme="0" tint="-0.14993743705557422"/>
          </font>
          <fill>
            <patternFill>
              <bgColor theme="1" tint="4.9989318521683403E-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4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[samsung_2019-24_dataset Dashbord Complete.xlsx]Pivot Table!PivotTable4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Market Share by Product Model</a:t>
            </a:r>
            <a:endParaRPr lang="en-US"/>
          </a:p>
        </c:rich>
      </c:tx>
      <c:layout>
        <c:manualLayout>
          <c:xMode val="edge"/>
          <c:yMode val="edge"/>
          <c:x val="0.45592592306962981"/>
          <c:y val="3.119013704012967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Table'!$B$7</c:f>
              <c:strCache>
                <c:ptCount val="1"/>
                <c:pt idx="0">
                  <c:v>Total</c:v>
                </c:pt>
              </c:strCache>
            </c:strRef>
          </c:tx>
          <c:spPr>
            <a:solidFill>
              <a:schemeClr val="accent1"/>
            </a:solidFill>
            <a:ln>
              <a:noFill/>
            </a:ln>
            <a:effectLst/>
          </c:spPr>
          <c:invertIfNegative val="0"/>
          <c:cat>
            <c:strRef>
              <c:f>'Pivot Table'!$A$8:$A$23</c:f>
              <c:strCache>
                <c:ptCount val="15"/>
                <c:pt idx="0">
                  <c:v>Galaxy S21</c:v>
                </c:pt>
                <c:pt idx="1">
                  <c:v>Galaxy S20</c:v>
                </c:pt>
                <c:pt idx="2">
                  <c:v>Galaxy Note10</c:v>
                </c:pt>
                <c:pt idx="3">
                  <c:v>Galaxy S10</c:v>
                </c:pt>
                <c:pt idx="4">
                  <c:v>Galaxy Note20</c:v>
                </c:pt>
                <c:pt idx="5">
                  <c:v>Galaxy Z Fold2 5G</c:v>
                </c:pt>
                <c:pt idx="6">
                  <c:v>Galaxy A73 5G</c:v>
                </c:pt>
                <c:pt idx="7">
                  <c:v>Galaxy S23 5G</c:v>
                </c:pt>
                <c:pt idx="8">
                  <c:v>Galaxy A52 5G</c:v>
                </c:pt>
                <c:pt idx="9">
                  <c:v>Galaxy S22 5G</c:v>
                </c:pt>
                <c:pt idx="10">
                  <c:v>Galaxy Z Flip5 5G</c:v>
                </c:pt>
                <c:pt idx="11">
                  <c:v>Galaxy A32 5G</c:v>
                </c:pt>
                <c:pt idx="12">
                  <c:v>Galaxy Z Flip3 5G</c:v>
                </c:pt>
                <c:pt idx="13">
                  <c:v>Galaxy A14 5G</c:v>
                </c:pt>
                <c:pt idx="14">
                  <c:v>Galaxy Z Fold3 5G</c:v>
                </c:pt>
              </c:strCache>
            </c:strRef>
          </c:cat>
          <c:val>
            <c:numRef>
              <c:f>'Pivot Table'!$B$8:$B$23</c:f>
              <c:numCache>
                <c:formatCode>0%</c:formatCode>
                <c:ptCount val="15"/>
                <c:pt idx="0">
                  <c:v>1.4786567164179101</c:v>
                </c:pt>
                <c:pt idx="1">
                  <c:v>1.6021666666666674</c:v>
                </c:pt>
                <c:pt idx="2">
                  <c:v>1.65054054054054</c:v>
                </c:pt>
                <c:pt idx="3">
                  <c:v>1.6601515151515143</c:v>
                </c:pt>
                <c:pt idx="4">
                  <c:v>1.8720895522388055</c:v>
                </c:pt>
                <c:pt idx="5">
                  <c:v>4.0928124999999982</c:v>
                </c:pt>
                <c:pt idx="6">
                  <c:v>4.2283333333333335</c:v>
                </c:pt>
                <c:pt idx="7">
                  <c:v>4.4493103448275866</c:v>
                </c:pt>
                <c:pt idx="8">
                  <c:v>4.7648529411764731</c:v>
                </c:pt>
                <c:pt idx="9">
                  <c:v>4.7750632911392401</c:v>
                </c:pt>
                <c:pt idx="10">
                  <c:v>4.7856451612903177</c:v>
                </c:pt>
                <c:pt idx="11">
                  <c:v>4.8672463768115923</c:v>
                </c:pt>
                <c:pt idx="12">
                  <c:v>5.0600000000000023</c:v>
                </c:pt>
                <c:pt idx="13">
                  <c:v>5.1793548387096751</c:v>
                </c:pt>
                <c:pt idx="14">
                  <c:v>5.3349275362318833</c:v>
                </c:pt>
              </c:numCache>
            </c:numRef>
          </c:val>
          <c:extLst>
            <c:ext xmlns:c16="http://schemas.microsoft.com/office/drawing/2014/chart" uri="{C3380CC4-5D6E-409C-BE32-E72D297353CC}">
              <c16:uniqueId val="{00000000-51C6-49FC-B18B-9D9FE5574B99}"/>
            </c:ext>
          </c:extLst>
        </c:ser>
        <c:dLbls>
          <c:showLegendKey val="0"/>
          <c:showVal val="0"/>
          <c:showCatName val="0"/>
          <c:showSerName val="0"/>
          <c:showPercent val="0"/>
          <c:showBubbleSize val="0"/>
        </c:dLbls>
        <c:gapWidth val="182"/>
        <c:axId val="532749567"/>
        <c:axId val="532761087"/>
      </c:barChart>
      <c:catAx>
        <c:axId val="5327495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761087"/>
        <c:crosses val="autoZero"/>
        <c:auto val="1"/>
        <c:lblAlgn val="ctr"/>
        <c:lblOffset val="100"/>
        <c:noMultiLvlLbl val="0"/>
      </c:catAx>
      <c:valAx>
        <c:axId val="53276108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749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B0F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[samsung_2019-24_dataset Dashbord Complete.xlsx]Pivot Table!PivotTable5</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Regionl</a:t>
            </a:r>
            <a:r>
              <a:rPr lang="en-IN" baseline="0"/>
              <a:t> 5G Coverage vs Subscriber</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55331257931871"/>
          <c:y val="6.7846064709701892E-2"/>
          <c:w val="0.75231327081980481"/>
          <c:h val="0.53424477908262602"/>
        </c:manualLayout>
      </c:layout>
      <c:barChart>
        <c:barDir val="col"/>
        <c:grouping val="clustered"/>
        <c:varyColors val="0"/>
        <c:ser>
          <c:idx val="0"/>
          <c:order val="0"/>
          <c:tx>
            <c:strRef>
              <c:f>'Pivot Table'!$B$25</c:f>
              <c:strCache>
                <c:ptCount val="1"/>
                <c:pt idx="0">
                  <c:v>Average of Regional 5G Coverage (%)</c:v>
                </c:pt>
              </c:strCache>
            </c:strRef>
          </c:tx>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invertIfNegative val="0"/>
          <c:cat>
            <c:strRef>
              <c:f>'Pivot Table'!$A$26:$A$41</c:f>
              <c:strCache>
                <c:ptCount val="15"/>
                <c:pt idx="0">
                  <c:v>Galaxy A14 5G</c:v>
                </c:pt>
                <c:pt idx="1">
                  <c:v>Galaxy A32 5G</c:v>
                </c:pt>
                <c:pt idx="2">
                  <c:v>Galaxy A52 5G</c:v>
                </c:pt>
                <c:pt idx="3">
                  <c:v>Galaxy A73 5G</c:v>
                </c:pt>
                <c:pt idx="4">
                  <c:v>Galaxy Note10</c:v>
                </c:pt>
                <c:pt idx="5">
                  <c:v>Galaxy Note20</c:v>
                </c:pt>
                <c:pt idx="6">
                  <c:v>Galaxy S10</c:v>
                </c:pt>
                <c:pt idx="7">
                  <c:v>Galaxy S20</c:v>
                </c:pt>
                <c:pt idx="8">
                  <c:v>Galaxy S21</c:v>
                </c:pt>
                <c:pt idx="9">
                  <c:v>Galaxy S22 5G</c:v>
                </c:pt>
                <c:pt idx="10">
                  <c:v>Galaxy S23 5G</c:v>
                </c:pt>
                <c:pt idx="11">
                  <c:v>Galaxy Z Flip3 5G</c:v>
                </c:pt>
                <c:pt idx="12">
                  <c:v>Galaxy Z Flip5 5G</c:v>
                </c:pt>
                <c:pt idx="13">
                  <c:v>Galaxy Z Fold2 5G</c:v>
                </c:pt>
                <c:pt idx="14">
                  <c:v>Galaxy Z Fold3 5G</c:v>
                </c:pt>
              </c:strCache>
            </c:strRef>
          </c:cat>
          <c:val>
            <c:numRef>
              <c:f>'Pivot Table'!$B$26:$B$41</c:f>
              <c:numCache>
                <c:formatCode>0%</c:formatCode>
                <c:ptCount val="15"/>
                <c:pt idx="0">
                  <c:v>71.760645161290299</c:v>
                </c:pt>
                <c:pt idx="1">
                  <c:v>65.902318840579667</c:v>
                </c:pt>
                <c:pt idx="2">
                  <c:v>71.215000000000003</c:v>
                </c:pt>
                <c:pt idx="3">
                  <c:v>69.768333333333359</c:v>
                </c:pt>
                <c:pt idx="4">
                  <c:v>61.763378378378377</c:v>
                </c:pt>
                <c:pt idx="5">
                  <c:v>63.503880597014927</c:v>
                </c:pt>
                <c:pt idx="6">
                  <c:v>52.967121212121206</c:v>
                </c:pt>
                <c:pt idx="7">
                  <c:v>56.870000000000005</c:v>
                </c:pt>
                <c:pt idx="8">
                  <c:v>61.825820895522376</c:v>
                </c:pt>
                <c:pt idx="9">
                  <c:v>65.568481012658253</c:v>
                </c:pt>
                <c:pt idx="10">
                  <c:v>77.961551724137934</c:v>
                </c:pt>
                <c:pt idx="11">
                  <c:v>71.802898550724649</c:v>
                </c:pt>
                <c:pt idx="12">
                  <c:v>72.133064516129039</c:v>
                </c:pt>
                <c:pt idx="13">
                  <c:v>78.231562499999995</c:v>
                </c:pt>
                <c:pt idx="14">
                  <c:v>64.278405797101456</c:v>
                </c:pt>
              </c:numCache>
            </c:numRef>
          </c:val>
          <c:extLst>
            <c:ext xmlns:c16="http://schemas.microsoft.com/office/drawing/2014/chart" uri="{C3380CC4-5D6E-409C-BE32-E72D297353CC}">
              <c16:uniqueId val="{00000000-8524-48B8-B02E-39283C1882F6}"/>
            </c:ext>
          </c:extLst>
        </c:ser>
        <c:ser>
          <c:idx val="1"/>
          <c:order val="1"/>
          <c:tx>
            <c:strRef>
              <c:f>'Pivot Table'!$C$25</c:f>
              <c:strCache>
                <c:ptCount val="1"/>
                <c:pt idx="0">
                  <c:v>Average of 5G Subscribers (millions)</c:v>
                </c:pt>
              </c:strCache>
            </c:strRef>
          </c:tx>
          <c:spPr>
            <a:gradFill rotWithShape="1">
              <a:gsLst>
                <a:gs pos="0">
                  <a:schemeClr val="accent2">
                    <a:tint val="100000"/>
                    <a:shade val="85000"/>
                    <a:satMod val="100000"/>
                    <a:lumMod val="100000"/>
                  </a:schemeClr>
                </a:gs>
                <a:gs pos="100000">
                  <a:schemeClr val="accent2">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invertIfNegative val="0"/>
          <c:cat>
            <c:strRef>
              <c:f>'Pivot Table'!$A$26:$A$41</c:f>
              <c:strCache>
                <c:ptCount val="15"/>
                <c:pt idx="0">
                  <c:v>Galaxy A14 5G</c:v>
                </c:pt>
                <c:pt idx="1">
                  <c:v>Galaxy A32 5G</c:v>
                </c:pt>
                <c:pt idx="2">
                  <c:v>Galaxy A52 5G</c:v>
                </c:pt>
                <c:pt idx="3">
                  <c:v>Galaxy A73 5G</c:v>
                </c:pt>
                <c:pt idx="4">
                  <c:v>Galaxy Note10</c:v>
                </c:pt>
                <c:pt idx="5">
                  <c:v>Galaxy Note20</c:v>
                </c:pt>
                <c:pt idx="6">
                  <c:v>Galaxy S10</c:v>
                </c:pt>
                <c:pt idx="7">
                  <c:v>Galaxy S20</c:v>
                </c:pt>
                <c:pt idx="8">
                  <c:v>Galaxy S21</c:v>
                </c:pt>
                <c:pt idx="9">
                  <c:v>Galaxy S22 5G</c:v>
                </c:pt>
                <c:pt idx="10">
                  <c:v>Galaxy S23 5G</c:v>
                </c:pt>
                <c:pt idx="11">
                  <c:v>Galaxy Z Flip3 5G</c:v>
                </c:pt>
                <c:pt idx="12">
                  <c:v>Galaxy Z Flip5 5G</c:v>
                </c:pt>
                <c:pt idx="13">
                  <c:v>Galaxy Z Fold2 5G</c:v>
                </c:pt>
                <c:pt idx="14">
                  <c:v>Galaxy Z Fold3 5G</c:v>
                </c:pt>
              </c:strCache>
            </c:strRef>
          </c:cat>
          <c:val>
            <c:numRef>
              <c:f>'Pivot Table'!$C$26:$C$41</c:f>
              <c:numCache>
                <c:formatCode>General</c:formatCode>
                <c:ptCount val="15"/>
                <c:pt idx="0">
                  <c:v>27.070161290322577</c:v>
                </c:pt>
                <c:pt idx="1">
                  <c:v>31.732898550724645</c:v>
                </c:pt>
                <c:pt idx="2">
                  <c:v>37.416617647058807</c:v>
                </c:pt>
                <c:pt idx="3">
                  <c:v>33.615909090909092</c:v>
                </c:pt>
                <c:pt idx="4">
                  <c:v>24.782027027027027</c:v>
                </c:pt>
                <c:pt idx="5">
                  <c:v>22.949701492537322</c:v>
                </c:pt>
                <c:pt idx="6">
                  <c:v>28.960454545454549</c:v>
                </c:pt>
                <c:pt idx="7">
                  <c:v>18.77249999999999</c:v>
                </c:pt>
                <c:pt idx="8">
                  <c:v>26.898805970149255</c:v>
                </c:pt>
                <c:pt idx="9">
                  <c:v>31.128354430379726</c:v>
                </c:pt>
                <c:pt idx="10">
                  <c:v>31.014999999999997</c:v>
                </c:pt>
                <c:pt idx="11">
                  <c:v>27.99565217391303</c:v>
                </c:pt>
                <c:pt idx="12">
                  <c:v>38.863548387096756</c:v>
                </c:pt>
                <c:pt idx="13">
                  <c:v>35.571093750000003</c:v>
                </c:pt>
                <c:pt idx="14">
                  <c:v>35.274202898550705</c:v>
                </c:pt>
              </c:numCache>
            </c:numRef>
          </c:val>
          <c:extLst>
            <c:ext xmlns:c16="http://schemas.microsoft.com/office/drawing/2014/chart" uri="{C3380CC4-5D6E-409C-BE32-E72D297353CC}">
              <c16:uniqueId val="{00000001-8524-48B8-B02E-39283C1882F6}"/>
            </c:ext>
          </c:extLst>
        </c:ser>
        <c:dLbls>
          <c:showLegendKey val="0"/>
          <c:showVal val="0"/>
          <c:showCatName val="0"/>
          <c:showSerName val="0"/>
          <c:showPercent val="0"/>
          <c:showBubbleSize val="0"/>
        </c:dLbls>
        <c:gapWidth val="100"/>
        <c:overlap val="-24"/>
        <c:axId val="909949951"/>
        <c:axId val="909951871"/>
      </c:barChart>
      <c:catAx>
        <c:axId val="90994995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9951871"/>
        <c:crosses val="autoZero"/>
        <c:auto val="1"/>
        <c:lblAlgn val="ctr"/>
        <c:lblOffset val="100"/>
        <c:noMultiLvlLbl val="0"/>
      </c:catAx>
      <c:valAx>
        <c:axId val="909951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9949951"/>
        <c:crosses val="autoZero"/>
        <c:crossBetween val="between"/>
      </c:valAx>
      <c:spPr>
        <a:noFill/>
        <a:ln>
          <a:noFill/>
        </a:ln>
        <a:effectLst/>
      </c:spPr>
    </c:plotArea>
    <c:legend>
      <c:legendPos val="r"/>
      <c:layout>
        <c:manualLayout>
          <c:xMode val="edge"/>
          <c:yMode val="edge"/>
          <c:x val="0.86842299291376712"/>
          <c:y val="4.1089364000207858E-2"/>
          <c:w val="0.13157700708623285"/>
          <c:h val="0.9116529622796278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B0F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[samsung_2019-24_dataset Dashbord Complete.xlsx]Pivot Table!PivotTable6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5G</a:t>
            </a:r>
            <a:r>
              <a:rPr lang="en-IN" baseline="0"/>
              <a:t> Speed VS Preferance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36728184649375"/>
          <c:y val="9.2663559829272032E-2"/>
          <c:w val="0.8409877004469698"/>
          <c:h val="0.69639751487857982"/>
        </c:manualLayout>
      </c:layout>
      <c:bar3DChart>
        <c:barDir val="col"/>
        <c:grouping val="percentStacked"/>
        <c:varyColors val="0"/>
        <c:ser>
          <c:idx val="0"/>
          <c:order val="0"/>
          <c:tx>
            <c:strRef>
              <c:f>'Pivot Table'!$B$43</c:f>
              <c:strCache>
                <c:ptCount val="1"/>
                <c:pt idx="0">
                  <c:v>Average of Avg 5G Speed (Mbps)</c:v>
                </c:pt>
              </c:strCache>
            </c:strRef>
          </c:tx>
          <c:spPr>
            <a:solidFill>
              <a:schemeClr val="accent1">
                <a:tint val="77000"/>
              </a:schemeClr>
            </a:solidFill>
            <a:ln>
              <a:noFill/>
            </a:ln>
            <a:effectLst/>
            <a:sp3d/>
          </c:spPr>
          <c:invertIfNegative val="0"/>
          <c:cat>
            <c:strRef>
              <c:f>'Pivot Table'!$A$44:$A$49</c:f>
              <c:strCache>
                <c:ptCount val="5"/>
                <c:pt idx="0">
                  <c:v>Asia-Pacific</c:v>
                </c:pt>
                <c:pt idx="1">
                  <c:v>Europe</c:v>
                </c:pt>
                <c:pt idx="2">
                  <c:v>Latin America</c:v>
                </c:pt>
                <c:pt idx="3">
                  <c:v>Middle East &amp; Africa</c:v>
                </c:pt>
                <c:pt idx="4">
                  <c:v>North America</c:v>
                </c:pt>
              </c:strCache>
            </c:strRef>
          </c:cat>
          <c:val>
            <c:numRef>
              <c:f>'Pivot Table'!$B$44:$B$49</c:f>
              <c:numCache>
                <c:formatCode>General</c:formatCode>
                <c:ptCount val="5"/>
                <c:pt idx="0">
                  <c:v>183.51468926553667</c:v>
                </c:pt>
                <c:pt idx="1">
                  <c:v>171.4513541666665</c:v>
                </c:pt>
                <c:pt idx="2">
                  <c:v>176.34697560975593</c:v>
                </c:pt>
                <c:pt idx="3">
                  <c:v>187.98175000000001</c:v>
                </c:pt>
                <c:pt idx="4">
                  <c:v>177.33327433628327</c:v>
                </c:pt>
              </c:numCache>
            </c:numRef>
          </c:val>
          <c:extLst>
            <c:ext xmlns:c16="http://schemas.microsoft.com/office/drawing/2014/chart" uri="{C3380CC4-5D6E-409C-BE32-E72D297353CC}">
              <c16:uniqueId val="{00000000-C760-4413-B8F8-2902E8981219}"/>
            </c:ext>
          </c:extLst>
        </c:ser>
        <c:ser>
          <c:idx val="1"/>
          <c:order val="1"/>
          <c:tx>
            <c:strRef>
              <c:f>'Pivot Table'!$C$43</c:f>
              <c:strCache>
                <c:ptCount val="1"/>
                <c:pt idx="0">
                  <c:v>Average of Preference for 5G (%)</c:v>
                </c:pt>
              </c:strCache>
            </c:strRef>
          </c:tx>
          <c:spPr>
            <a:solidFill>
              <a:schemeClr val="accent1">
                <a:shade val="76000"/>
              </a:schemeClr>
            </a:solidFill>
            <a:ln>
              <a:noFill/>
            </a:ln>
            <a:effectLst/>
            <a:sp3d/>
          </c:spPr>
          <c:invertIfNegative val="0"/>
          <c:cat>
            <c:strRef>
              <c:f>'Pivot Table'!$A$44:$A$49</c:f>
              <c:strCache>
                <c:ptCount val="5"/>
                <c:pt idx="0">
                  <c:v>Asia-Pacific</c:v>
                </c:pt>
                <c:pt idx="1">
                  <c:v>Europe</c:v>
                </c:pt>
                <c:pt idx="2">
                  <c:v>Latin America</c:v>
                </c:pt>
                <c:pt idx="3">
                  <c:v>Middle East &amp; Africa</c:v>
                </c:pt>
                <c:pt idx="4">
                  <c:v>North America</c:v>
                </c:pt>
              </c:strCache>
            </c:strRef>
          </c:cat>
          <c:val>
            <c:numRef>
              <c:f>'Pivot Table'!$C$44:$C$49</c:f>
              <c:numCache>
                <c:formatCode>0%</c:formatCode>
                <c:ptCount val="5"/>
                <c:pt idx="0">
                  <c:v>66.817457627118642</c:v>
                </c:pt>
                <c:pt idx="1">
                  <c:v>65.896354166666669</c:v>
                </c:pt>
                <c:pt idx="2">
                  <c:v>68.334292682926943</c:v>
                </c:pt>
                <c:pt idx="3">
                  <c:v>68.682449999999932</c:v>
                </c:pt>
                <c:pt idx="4">
                  <c:v>66.013716814159295</c:v>
                </c:pt>
              </c:numCache>
            </c:numRef>
          </c:val>
          <c:extLst>
            <c:ext xmlns:c16="http://schemas.microsoft.com/office/drawing/2014/chart" uri="{C3380CC4-5D6E-409C-BE32-E72D297353CC}">
              <c16:uniqueId val="{00000001-C760-4413-B8F8-2902E8981219}"/>
            </c:ext>
          </c:extLst>
        </c:ser>
        <c:dLbls>
          <c:showLegendKey val="0"/>
          <c:showVal val="0"/>
          <c:showCatName val="0"/>
          <c:showSerName val="0"/>
          <c:showPercent val="0"/>
          <c:showBubbleSize val="0"/>
        </c:dLbls>
        <c:gapWidth val="150"/>
        <c:shape val="box"/>
        <c:axId val="909943711"/>
        <c:axId val="909962911"/>
        <c:axId val="0"/>
      </c:bar3DChart>
      <c:catAx>
        <c:axId val="9099437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9962911"/>
        <c:crosses val="autoZero"/>
        <c:auto val="1"/>
        <c:lblAlgn val="ctr"/>
        <c:lblOffset val="100"/>
        <c:noMultiLvlLbl val="0"/>
      </c:catAx>
      <c:valAx>
        <c:axId val="9099629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9943711"/>
        <c:crosses val="autoZero"/>
        <c:crossBetween val="between"/>
      </c:valAx>
      <c:spPr>
        <a:noFill/>
        <a:ln>
          <a:solidFill>
            <a:schemeClr val="bg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rnd" cmpd="sng" algn="ctr">
      <a:solidFill>
        <a:srgbClr val="00B0F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[samsung_2019-24_dataset Dashbord Complete.xlsx]Pivot Table!PivotTable7</c:name>
    <c:fmtId val="2"/>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Revenue</a:t>
            </a:r>
            <a:r>
              <a:rPr lang="en-US" baseline="0"/>
              <a:t> by region</a:t>
            </a:r>
            <a:endParaRPr lang="en-US"/>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Table'!$B$56</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47C6-4A9C-9B71-0AC9E4D4BA69}"/>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47C6-4A9C-9B71-0AC9E4D4BA69}"/>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47C6-4A9C-9B71-0AC9E4D4BA69}"/>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47C6-4A9C-9B71-0AC9E4D4BA69}"/>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47C6-4A9C-9B71-0AC9E4D4BA69}"/>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1-47C6-4A9C-9B71-0AC9E4D4BA69}"/>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3-47C6-4A9C-9B71-0AC9E4D4BA69}"/>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5-47C6-4A9C-9B71-0AC9E4D4BA69}"/>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7-47C6-4A9C-9B71-0AC9E4D4BA69}"/>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9-47C6-4A9C-9B71-0AC9E4D4BA69}"/>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Table'!$A$57:$A$62</c:f>
              <c:strCache>
                <c:ptCount val="5"/>
                <c:pt idx="0">
                  <c:v>Asia-Pacific</c:v>
                </c:pt>
                <c:pt idx="1">
                  <c:v>Europe</c:v>
                </c:pt>
                <c:pt idx="2">
                  <c:v>Latin America</c:v>
                </c:pt>
                <c:pt idx="3">
                  <c:v>Middle East &amp; Africa</c:v>
                </c:pt>
                <c:pt idx="4">
                  <c:v>North America</c:v>
                </c:pt>
              </c:strCache>
            </c:strRef>
          </c:cat>
          <c:val>
            <c:numRef>
              <c:f>'Pivot Table'!$B$57:$B$62</c:f>
              <c:numCache>
                <c:formatCode>"₹"\ #,##0</c:formatCode>
                <c:ptCount val="5"/>
                <c:pt idx="0">
                  <c:v>5685065892.8899965</c:v>
                </c:pt>
                <c:pt idx="1">
                  <c:v>5578138783.9320002</c:v>
                </c:pt>
                <c:pt idx="2">
                  <c:v>6892401888.6539946</c:v>
                </c:pt>
                <c:pt idx="3">
                  <c:v>5444651595.5239983</c:v>
                </c:pt>
                <c:pt idx="4">
                  <c:v>6597073736.4089966</c:v>
                </c:pt>
              </c:numCache>
            </c:numRef>
          </c:val>
          <c:extLst>
            <c:ext xmlns:c16="http://schemas.microsoft.com/office/drawing/2014/chart" uri="{C3380CC4-5D6E-409C-BE32-E72D297353CC}">
              <c16:uniqueId val="{0000000A-47C6-4A9C-9B71-0AC9E4D4BA69}"/>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B0F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[samsung_2019-24_dataset Dashbord Complete.xlsx]Pivot Table!PivotTable8</c:name>
    <c:fmtId val="2"/>
  </c:pivotSource>
  <c:chart>
    <c:title>
      <c:tx>
        <c:rich>
          <a:bodyPr rot="0" spcFirstLastPara="1" vertOverflow="ellipsis" vert="horz" wrap="square" anchor="ctr" anchorCtr="1"/>
          <a:lstStyle/>
          <a:p>
            <a:pPr>
              <a:defRPr sz="14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r>
              <a:rPr lang="en-US"/>
              <a:t>Revenue By Product Model</a:t>
            </a:r>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960759121848973"/>
          <c:y val="0.12136524228407708"/>
          <c:w val="0.78288623999693308"/>
          <c:h val="0.45786464268778038"/>
        </c:manualLayout>
      </c:layout>
      <c:bar3DChart>
        <c:barDir val="col"/>
        <c:grouping val="percentStacked"/>
        <c:varyColors val="0"/>
        <c:ser>
          <c:idx val="0"/>
          <c:order val="0"/>
          <c:tx>
            <c:strRef>
              <c:f>'Pivot Table'!$B$74</c:f>
              <c:strCache>
                <c:ptCount val="1"/>
                <c:pt idx="0">
                  <c:v>Total</c:v>
                </c:pt>
              </c:strCache>
            </c:strRef>
          </c:tx>
          <c:spPr>
            <a:solidFill>
              <a:schemeClr val="accent6"/>
            </a:solidFill>
            <a:ln>
              <a:noFill/>
            </a:ln>
            <a:effectLst/>
            <a:sp3d/>
          </c:spPr>
          <c:invertIfNegative val="0"/>
          <c:cat>
            <c:strRef>
              <c:f>'Pivot Table'!$A$75:$A$90</c:f>
              <c:strCache>
                <c:ptCount val="15"/>
                <c:pt idx="0">
                  <c:v>Galaxy Z Fold3 5G</c:v>
                </c:pt>
                <c:pt idx="1">
                  <c:v>Galaxy Z Fold2 5G</c:v>
                </c:pt>
                <c:pt idx="2">
                  <c:v>Galaxy Z Flip5 5G</c:v>
                </c:pt>
                <c:pt idx="3">
                  <c:v>Galaxy Z Flip3 5G</c:v>
                </c:pt>
                <c:pt idx="4">
                  <c:v>Galaxy S23 5G</c:v>
                </c:pt>
                <c:pt idx="5">
                  <c:v>Galaxy S22 5G</c:v>
                </c:pt>
                <c:pt idx="6">
                  <c:v>Galaxy S21</c:v>
                </c:pt>
                <c:pt idx="7">
                  <c:v>Galaxy S20</c:v>
                </c:pt>
                <c:pt idx="8">
                  <c:v>Galaxy S10</c:v>
                </c:pt>
                <c:pt idx="9">
                  <c:v>Galaxy Note20</c:v>
                </c:pt>
                <c:pt idx="10">
                  <c:v>Galaxy Note10</c:v>
                </c:pt>
                <c:pt idx="11">
                  <c:v>Galaxy A73 5G</c:v>
                </c:pt>
                <c:pt idx="12">
                  <c:v>Galaxy A52 5G</c:v>
                </c:pt>
                <c:pt idx="13">
                  <c:v>Galaxy A32 5G</c:v>
                </c:pt>
                <c:pt idx="14">
                  <c:v>Galaxy A14 5G</c:v>
                </c:pt>
              </c:strCache>
            </c:strRef>
          </c:cat>
          <c:val>
            <c:numRef>
              <c:f>'Pivot Table'!$B$75:$B$90</c:f>
              <c:numCache>
                <c:formatCode>"₹"\ #,##0</c:formatCode>
                <c:ptCount val="15"/>
                <c:pt idx="0">
                  <c:v>1995838823.5499995</c:v>
                </c:pt>
                <c:pt idx="1">
                  <c:v>2253344206.369998</c:v>
                </c:pt>
                <c:pt idx="2">
                  <c:v>1755376406.5219989</c:v>
                </c:pt>
                <c:pt idx="3">
                  <c:v>2176406512.7860003</c:v>
                </c:pt>
                <c:pt idx="4">
                  <c:v>2242308203.8939996</c:v>
                </c:pt>
                <c:pt idx="5">
                  <c:v>2762722960.8159986</c:v>
                </c:pt>
                <c:pt idx="6">
                  <c:v>1587149637.6550007</c:v>
                </c:pt>
                <c:pt idx="7">
                  <c:v>1254092840.6260002</c:v>
                </c:pt>
                <c:pt idx="8">
                  <c:v>1511364942.9710007</c:v>
                </c:pt>
                <c:pt idx="9">
                  <c:v>1675543238.3420002</c:v>
                </c:pt>
                <c:pt idx="10">
                  <c:v>1773860408.6230006</c:v>
                </c:pt>
                <c:pt idx="11">
                  <c:v>2129075741.9519999</c:v>
                </c:pt>
                <c:pt idx="12">
                  <c:v>2595994545.7780008</c:v>
                </c:pt>
                <c:pt idx="13">
                  <c:v>2097650412.6099989</c:v>
                </c:pt>
                <c:pt idx="14">
                  <c:v>2386603014.9139996</c:v>
                </c:pt>
              </c:numCache>
            </c:numRef>
          </c:val>
          <c:extLst>
            <c:ext xmlns:c16="http://schemas.microsoft.com/office/drawing/2014/chart" uri="{C3380CC4-5D6E-409C-BE32-E72D297353CC}">
              <c16:uniqueId val="{00000000-55ED-4A60-BB8C-7FA88DBB40E6}"/>
            </c:ext>
          </c:extLst>
        </c:ser>
        <c:dLbls>
          <c:showLegendKey val="0"/>
          <c:showVal val="0"/>
          <c:showCatName val="0"/>
          <c:showSerName val="0"/>
          <c:showPercent val="0"/>
          <c:showBubbleSize val="0"/>
        </c:dLbls>
        <c:gapWidth val="150"/>
        <c:shape val="box"/>
        <c:axId val="603776751"/>
        <c:axId val="603774831"/>
        <c:axId val="0"/>
      </c:bar3DChart>
      <c:catAx>
        <c:axId val="603776751"/>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crossAx val="603774831"/>
        <c:crosses val="autoZero"/>
        <c:auto val="1"/>
        <c:lblAlgn val="ctr"/>
        <c:lblOffset val="100"/>
        <c:noMultiLvlLbl val="0"/>
      </c:catAx>
      <c:valAx>
        <c:axId val="603774831"/>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crossAx val="603776751"/>
        <c:crosses val="autoZero"/>
        <c:crossBetween val="between"/>
      </c:valAx>
      <c:spPr>
        <a:noFill/>
        <a:ln>
          <a:solidFill>
            <a:schemeClr val="bg1"/>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B0F0"/>
      </a:solidFill>
      <a:round/>
    </a:ln>
    <a:effectLst/>
  </c:spPr>
  <c:txPr>
    <a:bodyPr/>
    <a:lstStyle/>
    <a:p>
      <a:pPr>
        <a:defRPr b="0" cap="none" spc="0">
          <a:ln w="0"/>
          <a:solidFill>
            <a:schemeClr val="accent1"/>
          </a:solidFill>
          <a:effectLst>
            <a:outerShdw blurRad="38100" dist="25400" dir="5400000" algn="ctr" rotWithShape="0">
              <a:srgbClr val="6E747A">
                <a:alpha val="43000"/>
              </a:srgb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[samsung_2019-24_dataset Dashbord Complete.xlsx]Pivot Table!PivotTable9</c:name>
    <c:fmtId val="2"/>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Units Sold Over Time</a:t>
            </a:r>
          </a:p>
        </c:rich>
      </c:tx>
      <c:layout>
        <c:manualLayout>
          <c:xMode val="edge"/>
          <c:yMode val="edge"/>
          <c:x val="1.1035748577902559E-3"/>
          <c:y val="3.5728347628882816E-3"/>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Table'!$B$93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'Pivot Table'!$A$94:$A$98</c:f>
              <c:strCache>
                <c:ptCount val="4"/>
                <c:pt idx="0">
                  <c:v>Q1</c:v>
                </c:pt>
                <c:pt idx="1">
                  <c:v>Q2</c:v>
                </c:pt>
                <c:pt idx="2">
                  <c:v>Q3</c:v>
                </c:pt>
                <c:pt idx="3">
                  <c:v>Q4</c:v>
                </c:pt>
              </c:strCache>
            </c:strRef>
          </c:cat>
          <c:val>
            <c:numRef>
              <c:f>'Pivot Table'!$B$94:$B$98</c:f>
              <c:numCache>
                <c:formatCode>#,##0.00</c:formatCode>
                <c:ptCount val="4"/>
                <c:pt idx="0">
                  <c:v>8535812</c:v>
                </c:pt>
                <c:pt idx="1">
                  <c:v>7856949</c:v>
                </c:pt>
                <c:pt idx="2">
                  <c:v>8856944</c:v>
                </c:pt>
                <c:pt idx="3">
                  <c:v>7593285</c:v>
                </c:pt>
              </c:numCache>
            </c:numRef>
          </c:val>
          <c:smooth val="0"/>
          <c:extLst>
            <c:ext xmlns:c16="http://schemas.microsoft.com/office/drawing/2014/chart" uri="{C3380CC4-5D6E-409C-BE32-E72D297353CC}">
              <c16:uniqueId val="{00000000-5BA5-4C33-85A4-B7FCA7D33570}"/>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847423551"/>
        <c:axId val="847424031"/>
      </c:lineChart>
      <c:catAx>
        <c:axId val="847423551"/>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847424031"/>
        <c:crosses val="autoZero"/>
        <c:auto val="1"/>
        <c:lblAlgn val="ctr"/>
        <c:lblOffset val="100"/>
        <c:noMultiLvlLbl val="0"/>
      </c:catAx>
      <c:valAx>
        <c:axId val="84742403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47423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hyperlink" Target="https://avnation.tv/2021/06/02/samsung-expands-smart-monitor-lineup-worldwide-to-meet-growing-demand-of-do-it-all-displays/" TargetMode="External"/><Relationship Id="rId13" Type="http://schemas.openxmlformats.org/officeDocument/2006/relationships/image" Target="../media/image6.svg"/><Relationship Id="rId3" Type="http://schemas.openxmlformats.org/officeDocument/2006/relationships/chart" Target="../charts/chart3.xml"/><Relationship Id="rId7" Type="http://schemas.openxmlformats.org/officeDocument/2006/relationships/image" Target="../media/image2.png"/><Relationship Id="rId12" Type="http://schemas.openxmlformats.org/officeDocument/2006/relationships/image" Target="../media/image5.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4.svg"/><Relationship Id="rId5" Type="http://schemas.openxmlformats.org/officeDocument/2006/relationships/chart" Target="../charts/chart5.xml"/><Relationship Id="rId15" Type="http://schemas.openxmlformats.org/officeDocument/2006/relationships/image" Target="../media/image8.svg"/><Relationship Id="rId10" Type="http://schemas.openxmlformats.org/officeDocument/2006/relationships/image" Target="../media/image3.png"/><Relationship Id="rId4" Type="http://schemas.openxmlformats.org/officeDocument/2006/relationships/chart" Target="../charts/chart4.xml"/><Relationship Id="rId9" Type="http://schemas.openxmlformats.org/officeDocument/2006/relationships/hyperlink" Target="https://creativecommons.org/licenses/by-nc-sa/3.0/" TargetMode="External"/><Relationship Id="rId1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4</xdr:col>
      <xdr:colOff>265339</xdr:colOff>
      <xdr:row>0</xdr:row>
      <xdr:rowOff>87902</xdr:rowOff>
    </xdr:from>
    <xdr:to>
      <xdr:col>7</xdr:col>
      <xdr:colOff>455840</xdr:colOff>
      <xdr:row>4</xdr:row>
      <xdr:rowOff>142875</xdr:rowOff>
    </xdr:to>
    <xdr:sp macro="" textlink="'Pivot Table'!$A$4">
      <xdr:nvSpPr>
        <xdr:cNvPr id="2" name="Rectangle: Rounded Corners 1">
          <a:extLst>
            <a:ext uri="{FF2B5EF4-FFF2-40B4-BE49-F238E27FC236}">
              <a16:creationId xmlns:a16="http://schemas.microsoft.com/office/drawing/2014/main" id="{B6A10D21-C295-6812-5E37-EB53553DF392}"/>
            </a:ext>
          </a:extLst>
        </xdr:cNvPr>
        <xdr:cNvSpPr/>
      </xdr:nvSpPr>
      <xdr:spPr>
        <a:xfrm>
          <a:off x="2959553" y="87902"/>
          <a:ext cx="2211162" cy="762544"/>
        </a:xfrm>
        <a:prstGeom prst="roundRect">
          <a:avLst/>
        </a:prstGeom>
        <a:solidFill>
          <a:schemeClr val="accent2"/>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i="0" u="none" strike="noStrike">
              <a:solidFill>
                <a:srgbClr val="FFFF00"/>
              </a:solidFill>
              <a:latin typeface="Calibri"/>
              <a:ea typeface="Calibri"/>
              <a:cs typeface="Calibri"/>
            </a:rPr>
            <a:t>Total</a:t>
          </a:r>
          <a:r>
            <a:rPr lang="en-US" sz="2000" b="1" i="0" u="none" strike="noStrike" baseline="0">
              <a:solidFill>
                <a:srgbClr val="FFFF00"/>
              </a:solidFill>
              <a:latin typeface="Calibri"/>
              <a:ea typeface="Calibri"/>
              <a:cs typeface="Calibri"/>
            </a:rPr>
            <a:t> Revenue </a:t>
          </a:r>
          <a:endParaRPr lang="en-IN" sz="2000" b="1">
            <a:solidFill>
              <a:srgbClr val="FFFF00"/>
            </a:solidFill>
          </a:endParaRPr>
        </a:p>
      </xdr:txBody>
    </xdr:sp>
    <xdr:clientData/>
  </xdr:twoCellAnchor>
  <xdr:twoCellAnchor>
    <xdr:from>
      <xdr:col>7</xdr:col>
      <xdr:colOff>606878</xdr:colOff>
      <xdr:row>0</xdr:row>
      <xdr:rowOff>99061</xdr:rowOff>
    </xdr:from>
    <xdr:to>
      <xdr:col>10</xdr:col>
      <xdr:colOff>612321</xdr:colOff>
      <xdr:row>4</xdr:row>
      <xdr:rowOff>156484</xdr:rowOff>
    </xdr:to>
    <xdr:sp macro="" textlink="'Pivot Table'!$B$4">
      <xdr:nvSpPr>
        <xdr:cNvPr id="4" name="Rectangle: Rounded Corners 3">
          <a:extLst>
            <a:ext uri="{FF2B5EF4-FFF2-40B4-BE49-F238E27FC236}">
              <a16:creationId xmlns:a16="http://schemas.microsoft.com/office/drawing/2014/main" id="{29D0B8B4-CE1F-3262-3791-2C1704FE69CF}"/>
            </a:ext>
          </a:extLst>
        </xdr:cNvPr>
        <xdr:cNvSpPr/>
      </xdr:nvSpPr>
      <xdr:spPr>
        <a:xfrm>
          <a:off x="5321753" y="99061"/>
          <a:ext cx="2026104" cy="764994"/>
        </a:xfrm>
        <a:prstGeom prst="roundRect">
          <a:avLst/>
        </a:prstGeom>
        <a:solidFill>
          <a:schemeClr val="accent2"/>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i="0" u="none" strike="noStrike">
              <a:solidFill>
                <a:srgbClr val="FFFF00"/>
              </a:solidFill>
              <a:latin typeface="Calibri"/>
              <a:ea typeface="Calibri"/>
              <a:cs typeface="Calibri"/>
            </a:rPr>
            <a:t>5G Susbcriber </a:t>
          </a:r>
          <a:endParaRPr lang="en-IN" sz="2000" b="1">
            <a:solidFill>
              <a:srgbClr val="FFFF00"/>
            </a:solidFill>
          </a:endParaRPr>
        </a:p>
      </xdr:txBody>
    </xdr:sp>
    <xdr:clientData/>
  </xdr:twoCellAnchor>
  <xdr:twoCellAnchor>
    <xdr:from>
      <xdr:col>11</xdr:col>
      <xdr:colOff>134985</xdr:colOff>
      <xdr:row>0</xdr:row>
      <xdr:rowOff>65859</xdr:rowOff>
    </xdr:from>
    <xdr:to>
      <xdr:col>14</xdr:col>
      <xdr:colOff>0</xdr:colOff>
      <xdr:row>4</xdr:row>
      <xdr:rowOff>136072</xdr:rowOff>
    </xdr:to>
    <xdr:sp macro="" textlink="'Pivot Table'!D4">
      <xdr:nvSpPr>
        <xdr:cNvPr id="8" name="Rectangle: Rounded Corners 7">
          <a:extLst>
            <a:ext uri="{FF2B5EF4-FFF2-40B4-BE49-F238E27FC236}">
              <a16:creationId xmlns:a16="http://schemas.microsoft.com/office/drawing/2014/main" id="{7265E71C-B435-7437-7313-DA9C9EA6856C}"/>
            </a:ext>
          </a:extLst>
        </xdr:cNvPr>
        <xdr:cNvSpPr/>
      </xdr:nvSpPr>
      <xdr:spPr>
        <a:xfrm>
          <a:off x="7544074" y="65859"/>
          <a:ext cx="1885676" cy="777784"/>
        </a:xfrm>
        <a:prstGeom prst="roundRect">
          <a:avLst/>
        </a:prstGeom>
        <a:solidFill>
          <a:schemeClr val="accent2"/>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i="0" u="none" strike="noStrike">
              <a:solidFill>
                <a:srgbClr val="FFFF00"/>
              </a:solidFill>
              <a:latin typeface="Calibri"/>
              <a:ea typeface="Calibri"/>
              <a:cs typeface="Calibri"/>
            </a:rPr>
            <a:t>Total Unite Sold </a:t>
          </a:r>
          <a:endParaRPr lang="en-IN" sz="2000" b="1">
            <a:solidFill>
              <a:srgbClr val="FFFF00"/>
            </a:solidFill>
          </a:endParaRPr>
        </a:p>
      </xdr:txBody>
    </xdr:sp>
    <xdr:clientData/>
  </xdr:twoCellAnchor>
  <xdr:twoCellAnchor>
    <xdr:from>
      <xdr:col>0</xdr:col>
      <xdr:colOff>54430</xdr:colOff>
      <xdr:row>10</xdr:row>
      <xdr:rowOff>80009</xdr:rowOff>
    </xdr:from>
    <xdr:to>
      <xdr:col>6</xdr:col>
      <xdr:colOff>421823</xdr:colOff>
      <xdr:row>21</xdr:row>
      <xdr:rowOff>170088</xdr:rowOff>
    </xdr:to>
    <xdr:graphicFrame macro="">
      <xdr:nvGraphicFramePr>
        <xdr:cNvPr id="9" name="Chart 1">
          <a:extLst>
            <a:ext uri="{FF2B5EF4-FFF2-40B4-BE49-F238E27FC236}">
              <a16:creationId xmlns:a16="http://schemas.microsoft.com/office/drawing/2014/main" id="{A2F3E14C-6803-32C3-60B3-BEF10B8178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488961</xdr:colOff>
      <xdr:row>10</xdr:row>
      <xdr:rowOff>63639</xdr:rowOff>
    </xdr:from>
    <xdr:to>
      <xdr:col>12</xdr:col>
      <xdr:colOff>530062</xdr:colOff>
      <xdr:row>21</xdr:row>
      <xdr:rowOff>176891</xdr:rowOff>
    </xdr:to>
    <xdr:graphicFrame macro="">
      <xdr:nvGraphicFramePr>
        <xdr:cNvPr id="10" name="Chart 2">
          <a:extLst>
            <a:ext uri="{FF2B5EF4-FFF2-40B4-BE49-F238E27FC236}">
              <a16:creationId xmlns:a16="http://schemas.microsoft.com/office/drawing/2014/main" id="{F43BF793-498C-8AC2-39DB-F7B34BC4FF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20413</xdr:colOff>
      <xdr:row>22</xdr:row>
      <xdr:rowOff>66854</xdr:rowOff>
    </xdr:from>
    <xdr:to>
      <xdr:col>13</xdr:col>
      <xdr:colOff>251734</xdr:colOff>
      <xdr:row>33</xdr:row>
      <xdr:rowOff>34018</xdr:rowOff>
    </xdr:to>
    <xdr:graphicFrame macro="">
      <xdr:nvGraphicFramePr>
        <xdr:cNvPr id="11" name="Chart 3">
          <a:extLst>
            <a:ext uri="{FF2B5EF4-FFF2-40B4-BE49-F238E27FC236}">
              <a16:creationId xmlns:a16="http://schemas.microsoft.com/office/drawing/2014/main" id="{7EF5F248-8B7D-B4B8-73AE-0A7DAAAC90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34018</xdr:colOff>
      <xdr:row>22</xdr:row>
      <xdr:rowOff>74840</xdr:rowOff>
    </xdr:from>
    <xdr:to>
      <xdr:col>5</xdr:col>
      <xdr:colOff>623818</xdr:colOff>
      <xdr:row>32</xdr:row>
      <xdr:rowOff>122465</xdr:rowOff>
    </xdr:to>
    <xdr:graphicFrame macro="">
      <xdr:nvGraphicFramePr>
        <xdr:cNvPr id="12" name="Chart 4">
          <a:extLst>
            <a:ext uri="{FF2B5EF4-FFF2-40B4-BE49-F238E27FC236}">
              <a16:creationId xmlns:a16="http://schemas.microsoft.com/office/drawing/2014/main" id="{97C4A896-4E5A-13BC-3684-43E6A03E4D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595774</xdr:colOff>
      <xdr:row>10</xdr:row>
      <xdr:rowOff>95251</xdr:rowOff>
    </xdr:from>
    <xdr:to>
      <xdr:col>18</xdr:col>
      <xdr:colOff>415019</xdr:colOff>
      <xdr:row>21</xdr:row>
      <xdr:rowOff>163285</xdr:rowOff>
    </xdr:to>
    <xdr:graphicFrame macro="">
      <xdr:nvGraphicFramePr>
        <xdr:cNvPr id="13" name="Chart 5">
          <a:extLst>
            <a:ext uri="{FF2B5EF4-FFF2-40B4-BE49-F238E27FC236}">
              <a16:creationId xmlns:a16="http://schemas.microsoft.com/office/drawing/2014/main" id="{073225E7-C39E-0958-47A3-C8CDAD4A24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319768</xdr:colOff>
      <xdr:row>22</xdr:row>
      <xdr:rowOff>74839</xdr:rowOff>
    </xdr:from>
    <xdr:to>
      <xdr:col>18</xdr:col>
      <xdr:colOff>421822</xdr:colOff>
      <xdr:row>33</xdr:row>
      <xdr:rowOff>27215</xdr:rowOff>
    </xdr:to>
    <xdr:graphicFrame macro="">
      <xdr:nvGraphicFramePr>
        <xdr:cNvPr id="14" name="Chart 6">
          <a:extLst>
            <a:ext uri="{FF2B5EF4-FFF2-40B4-BE49-F238E27FC236}">
              <a16:creationId xmlns:a16="http://schemas.microsoft.com/office/drawing/2014/main" id="{8121D141-58B2-180F-A245-71F328F12D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5</xdr:col>
      <xdr:colOff>435429</xdr:colOff>
      <xdr:row>5</xdr:row>
      <xdr:rowOff>81643</xdr:rowOff>
    </xdr:from>
    <xdr:to>
      <xdr:col>12</xdr:col>
      <xdr:colOff>598714</xdr:colOff>
      <xdr:row>10</xdr:row>
      <xdr:rowOff>27213</xdr:rowOff>
    </xdr:to>
    <mc:AlternateContent xmlns:mc="http://schemas.openxmlformats.org/markup-compatibility/2006" xmlns:a14="http://schemas.microsoft.com/office/drawing/2010/main">
      <mc:Choice Requires="a14">
        <xdr:graphicFrame macro="">
          <xdr:nvGraphicFramePr>
            <xdr:cNvPr id="15" name="Year">
              <a:extLst>
                <a:ext uri="{FF2B5EF4-FFF2-40B4-BE49-F238E27FC236}">
                  <a16:creationId xmlns:a16="http://schemas.microsoft.com/office/drawing/2014/main" id="{E3CEB862-3C5A-CD64-BFB7-9EDA08CEEA46}"/>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3803197" y="966107"/>
              <a:ext cx="4878160" cy="8300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74839</xdr:colOff>
      <xdr:row>5</xdr:row>
      <xdr:rowOff>47626</xdr:rowOff>
    </xdr:from>
    <xdr:to>
      <xdr:col>18</xdr:col>
      <xdr:colOff>204107</xdr:colOff>
      <xdr:row>10</xdr:row>
      <xdr:rowOff>54428</xdr:rowOff>
    </xdr:to>
    <mc:AlternateContent xmlns:mc="http://schemas.openxmlformats.org/markup-compatibility/2006" xmlns:a14="http://schemas.microsoft.com/office/drawing/2010/main">
      <mc:Choice Requires="a14">
        <xdr:graphicFrame macro="">
          <xdr:nvGraphicFramePr>
            <xdr:cNvPr id="16" name="Quarter">
              <a:extLst>
                <a:ext uri="{FF2B5EF4-FFF2-40B4-BE49-F238E27FC236}">
                  <a16:creationId xmlns:a16="http://schemas.microsoft.com/office/drawing/2014/main" id="{5D326347-392B-AA39-5443-09400D6AA1A3}"/>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8831035" y="932090"/>
              <a:ext cx="3497036" cy="8912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131444</xdr:colOff>
      <xdr:row>0</xdr:row>
      <xdr:rowOff>85453</xdr:rowOff>
    </xdr:from>
    <xdr:to>
      <xdr:col>18</xdr:col>
      <xdr:colOff>217715</xdr:colOff>
      <xdr:row>4</xdr:row>
      <xdr:rowOff>61234</xdr:rowOff>
    </xdr:to>
    <mc:AlternateContent xmlns:mc="http://schemas.openxmlformats.org/markup-compatibility/2006" xmlns:a14="http://schemas.microsoft.com/office/drawing/2010/main">
      <mc:Choice Requires="a14">
        <xdr:graphicFrame macro="">
          <xdr:nvGraphicFramePr>
            <xdr:cNvPr id="17" name="5G Capability">
              <a:extLst>
                <a:ext uri="{FF2B5EF4-FFF2-40B4-BE49-F238E27FC236}">
                  <a16:creationId xmlns:a16="http://schemas.microsoft.com/office/drawing/2014/main" id="{F7ED962D-AA38-E7C3-7098-643A95E1F198}"/>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5G Capability"/>
            </a:graphicData>
          </a:graphic>
        </xdr:graphicFrame>
      </mc:Choice>
      <mc:Fallback xmlns="">
        <xdr:sp macro="" textlink="">
          <xdr:nvSpPr>
            <xdr:cNvPr id="0" name=""/>
            <xdr:cNvSpPr>
              <a:spLocks noTextEdit="1"/>
            </xdr:cNvSpPr>
          </xdr:nvSpPr>
          <xdr:spPr>
            <a:xfrm>
              <a:off x="9561194" y="85453"/>
              <a:ext cx="2780485" cy="6833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94434</xdr:colOff>
      <xdr:row>5</xdr:row>
      <xdr:rowOff>47624</xdr:rowOff>
    </xdr:from>
    <xdr:to>
      <xdr:col>5</xdr:col>
      <xdr:colOff>312964</xdr:colOff>
      <xdr:row>10</xdr:row>
      <xdr:rowOff>35944</xdr:rowOff>
    </xdr:to>
    <mc:AlternateContent xmlns:mc="http://schemas.openxmlformats.org/markup-compatibility/2006" xmlns:a14="http://schemas.microsoft.com/office/drawing/2010/main">
      <mc:Choice Requires="a14">
        <xdr:graphicFrame macro="">
          <xdr:nvGraphicFramePr>
            <xdr:cNvPr id="18" name="Region">
              <a:extLst>
                <a:ext uri="{FF2B5EF4-FFF2-40B4-BE49-F238E27FC236}">
                  <a16:creationId xmlns:a16="http://schemas.microsoft.com/office/drawing/2014/main" id="{98F3A6BA-909A-773C-1400-263FA752393A}"/>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4434" y="932088"/>
              <a:ext cx="3586298" cy="8727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0</xdr:colOff>
      <xdr:row>2</xdr:row>
      <xdr:rowOff>0</xdr:rowOff>
    </xdr:from>
    <xdr:to>
      <xdr:col>11</xdr:col>
      <xdr:colOff>304800</xdr:colOff>
      <xdr:row>3</xdr:row>
      <xdr:rowOff>129540</xdr:rowOff>
    </xdr:to>
    <xdr:sp macro="" textlink="">
      <xdr:nvSpPr>
        <xdr:cNvPr id="1026" name="AutoShape 2" descr="Samsung Logo PNG Images - CleanPNG">
          <a:extLst>
            <a:ext uri="{FF2B5EF4-FFF2-40B4-BE49-F238E27FC236}">
              <a16:creationId xmlns:a16="http://schemas.microsoft.com/office/drawing/2014/main" id="{56FA5E3D-96C4-1E7B-C102-2C3ABDAFF2FD}"/>
            </a:ext>
          </a:extLst>
        </xdr:cNvPr>
        <xdr:cNvSpPr>
          <a:spLocks noChangeAspect="1" noChangeArrowheads="1"/>
        </xdr:cNvSpPr>
      </xdr:nvSpPr>
      <xdr:spPr bwMode="auto">
        <a:xfrm>
          <a:off x="7376160" y="3505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3</xdr:row>
      <xdr:rowOff>0</xdr:rowOff>
    </xdr:from>
    <xdr:to>
      <xdr:col>13</xdr:col>
      <xdr:colOff>304800</xdr:colOff>
      <xdr:row>4</xdr:row>
      <xdr:rowOff>129540</xdr:rowOff>
    </xdr:to>
    <xdr:sp macro="" textlink="">
      <xdr:nvSpPr>
        <xdr:cNvPr id="1027" name="AutoShape 3" descr="Samsung Logo PNG Images - CleanPNG">
          <a:extLst>
            <a:ext uri="{FF2B5EF4-FFF2-40B4-BE49-F238E27FC236}">
              <a16:creationId xmlns:a16="http://schemas.microsoft.com/office/drawing/2014/main" id="{A68C4767-760B-D327-20A4-8C2F125D5799}"/>
            </a:ext>
          </a:extLst>
        </xdr:cNvPr>
        <xdr:cNvSpPr>
          <a:spLocks noChangeAspect="1" noChangeArrowheads="1"/>
        </xdr:cNvSpPr>
      </xdr:nvSpPr>
      <xdr:spPr bwMode="auto">
        <a:xfrm>
          <a:off x="8717280" y="5257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13</xdr:col>
      <xdr:colOff>0</xdr:colOff>
      <xdr:row>3</xdr:row>
      <xdr:rowOff>0</xdr:rowOff>
    </xdr:from>
    <xdr:ext cx="304800" cy="306432"/>
    <xdr:sp macro="" textlink="">
      <xdr:nvSpPr>
        <xdr:cNvPr id="7" name="AutoShape 3" descr="Samsung Logo PNG Images - CleanPNG">
          <a:extLst>
            <a:ext uri="{FF2B5EF4-FFF2-40B4-BE49-F238E27FC236}">
              <a16:creationId xmlns:a16="http://schemas.microsoft.com/office/drawing/2014/main" id="{ADEB18EB-7E7C-4B4F-9090-E12214DD926F}"/>
            </a:ext>
          </a:extLst>
        </xdr:cNvPr>
        <xdr:cNvSpPr>
          <a:spLocks noChangeAspect="1" noChangeArrowheads="1"/>
        </xdr:cNvSpPr>
      </xdr:nvSpPr>
      <xdr:spPr bwMode="auto">
        <a:xfrm>
          <a:off x="8756196" y="530679"/>
          <a:ext cx="304800" cy="3064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11</xdr:col>
      <xdr:colOff>0</xdr:colOff>
      <xdr:row>3</xdr:row>
      <xdr:rowOff>0</xdr:rowOff>
    </xdr:from>
    <xdr:to>
      <xdr:col>11</xdr:col>
      <xdr:colOff>304800</xdr:colOff>
      <xdr:row>4</xdr:row>
      <xdr:rowOff>129540</xdr:rowOff>
    </xdr:to>
    <xdr:sp macro="" textlink="">
      <xdr:nvSpPr>
        <xdr:cNvPr id="1028" name="AutoShape 4" descr="Samsung Logo PNG Images - CleanPNG">
          <a:extLst>
            <a:ext uri="{FF2B5EF4-FFF2-40B4-BE49-F238E27FC236}">
              <a16:creationId xmlns:a16="http://schemas.microsoft.com/office/drawing/2014/main" id="{AAD25652-1221-1612-AA9F-05038B4BB5B6}"/>
            </a:ext>
          </a:extLst>
        </xdr:cNvPr>
        <xdr:cNvSpPr>
          <a:spLocks noChangeAspect="1" noChangeArrowheads="1"/>
        </xdr:cNvSpPr>
      </xdr:nvSpPr>
      <xdr:spPr bwMode="auto">
        <a:xfrm>
          <a:off x="7376160" y="5257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353785</xdr:colOff>
      <xdr:row>0</xdr:row>
      <xdr:rowOff>129268</xdr:rowOff>
    </xdr:from>
    <xdr:to>
      <xdr:col>3</xdr:col>
      <xdr:colOff>523875</xdr:colOff>
      <xdr:row>4</xdr:row>
      <xdr:rowOff>138732</xdr:rowOff>
    </xdr:to>
    <xdr:pic>
      <xdr:nvPicPr>
        <xdr:cNvPr id="23" name="Picture 22">
          <a:extLst>
            <a:ext uri="{FF2B5EF4-FFF2-40B4-BE49-F238E27FC236}">
              <a16:creationId xmlns:a16="http://schemas.microsoft.com/office/drawing/2014/main" id="{695C3B1E-EAC6-5ECA-EB78-BA7C7A049246}"/>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837473B0-CC2E-450A-ABE3-18F120FF3D39}">
              <a1611:picAttrSrcUrl xmlns:a1611="http://schemas.microsoft.com/office/drawing/2016/11/main" r:id="rId8"/>
            </a:ext>
          </a:extLst>
        </a:blip>
        <a:stretch>
          <a:fillRect/>
        </a:stretch>
      </xdr:blipFill>
      <xdr:spPr>
        <a:xfrm>
          <a:off x="353785" y="129268"/>
          <a:ext cx="2190751" cy="717035"/>
        </a:xfrm>
        <a:prstGeom prst="rect">
          <a:avLst/>
        </a:prstGeom>
      </xdr:spPr>
    </xdr:pic>
    <xdr:clientData/>
  </xdr:twoCellAnchor>
  <xdr:oneCellAnchor>
    <xdr:from>
      <xdr:col>14</xdr:col>
      <xdr:colOff>496661</xdr:colOff>
      <xdr:row>0</xdr:row>
      <xdr:rowOff>83549</xdr:rowOff>
    </xdr:from>
    <xdr:ext cx="2360839" cy="45719"/>
    <xdr:sp macro="" textlink="">
      <xdr:nvSpPr>
        <xdr:cNvPr id="24" name="TextBox 23">
          <a:extLst>
            <a:ext uri="{FF2B5EF4-FFF2-40B4-BE49-F238E27FC236}">
              <a16:creationId xmlns:a16="http://schemas.microsoft.com/office/drawing/2014/main" id="{90D35B80-EA7A-F7D5-F6D6-555F07566F3D}"/>
            </a:ext>
          </a:extLst>
        </xdr:cNvPr>
        <xdr:cNvSpPr txBox="1"/>
      </xdr:nvSpPr>
      <xdr:spPr>
        <a:xfrm flipV="1">
          <a:off x="9926411" y="83549"/>
          <a:ext cx="2360839" cy="457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900">
              <a:hlinkClick xmlns:r="http://schemas.openxmlformats.org/officeDocument/2006/relationships" r:id="rId8" tooltip="https://avnation.tv/2021/06/02/samsung-expands-smart-monitor-lineup-worldwide-to-meet-growing-demand-of-do-it-all-displays/"/>
            </a:rPr>
            <a:t>This Photo</a:t>
          </a:r>
          <a:r>
            <a:rPr lang="en-IN" sz="900"/>
            <a:t> by Unknown Author is licensed under </a:t>
          </a:r>
          <a:r>
            <a:rPr lang="en-IN" sz="900">
              <a:hlinkClick xmlns:r="http://schemas.openxmlformats.org/officeDocument/2006/relationships" r:id="rId9" tooltip="https://creativecommons.org/licenses/by-nc-sa/3.0/"/>
            </a:rPr>
            <a:t>CC BY-SA-N</a:t>
          </a:r>
          <a:endParaRPr lang="en-IN" sz="900"/>
        </a:p>
      </xdr:txBody>
    </xdr:sp>
    <xdr:clientData/>
  </xdr:oneCellAnchor>
  <xdr:twoCellAnchor>
    <xdr:from>
      <xdr:col>8</xdr:col>
      <xdr:colOff>190500</xdr:colOff>
      <xdr:row>3</xdr:row>
      <xdr:rowOff>20410</xdr:rowOff>
    </xdr:from>
    <xdr:to>
      <xdr:col>10</xdr:col>
      <xdr:colOff>319768</xdr:colOff>
      <xdr:row>4</xdr:row>
      <xdr:rowOff>68036</xdr:rowOff>
    </xdr:to>
    <xdr:sp macro="" textlink="'Pivot Table'!C5">
      <xdr:nvSpPr>
        <xdr:cNvPr id="27" name="TextBox 26">
          <a:extLst>
            <a:ext uri="{FF2B5EF4-FFF2-40B4-BE49-F238E27FC236}">
              <a16:creationId xmlns:a16="http://schemas.microsoft.com/office/drawing/2014/main" id="{87456E89-7C23-5693-42BB-E5E9F4338118}"/>
            </a:ext>
          </a:extLst>
        </xdr:cNvPr>
        <xdr:cNvSpPr txBox="1"/>
      </xdr:nvSpPr>
      <xdr:spPr>
        <a:xfrm>
          <a:off x="5578929" y="551089"/>
          <a:ext cx="1476375" cy="2245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CB99DA4-00A4-4D5E-83E7-F865D55A8AB6}" type="TxLink">
            <a:rPr lang="en-US" sz="1800" b="1" i="0" u="none" strike="noStrike">
              <a:solidFill>
                <a:srgbClr val="000000"/>
              </a:solidFill>
              <a:latin typeface="Tw Cen MT"/>
            </a:rPr>
            <a:pPr algn="ctr"/>
            <a:t>30152.08 M</a:t>
          </a:fld>
          <a:endParaRPr lang="en-US" sz="1800" b="1"/>
        </a:p>
      </xdr:txBody>
    </xdr:sp>
    <xdr:clientData/>
  </xdr:twoCellAnchor>
  <xdr:twoCellAnchor>
    <xdr:from>
      <xdr:col>4</xdr:col>
      <xdr:colOff>585107</xdr:colOff>
      <xdr:row>3</xdr:row>
      <xdr:rowOff>0</xdr:rowOff>
    </xdr:from>
    <xdr:to>
      <xdr:col>7</xdr:col>
      <xdr:colOff>251732</xdr:colOff>
      <xdr:row>4</xdr:row>
      <xdr:rowOff>6804</xdr:rowOff>
    </xdr:to>
    <xdr:sp macro="" textlink="'Pivot Table'!A5">
      <xdr:nvSpPr>
        <xdr:cNvPr id="29" name="TextBox 28">
          <a:extLst>
            <a:ext uri="{FF2B5EF4-FFF2-40B4-BE49-F238E27FC236}">
              <a16:creationId xmlns:a16="http://schemas.microsoft.com/office/drawing/2014/main" id="{2AE6035A-8529-60E9-2EBB-4EAE41BBC939}"/>
            </a:ext>
          </a:extLst>
        </xdr:cNvPr>
        <xdr:cNvSpPr txBox="1"/>
      </xdr:nvSpPr>
      <xdr:spPr>
        <a:xfrm>
          <a:off x="3279321" y="530679"/>
          <a:ext cx="1687286" cy="1836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87B80DF-BA30-4C30-A0ED-622B7EB244BE}" type="TxLink">
            <a:rPr lang="en-US" sz="2000" b="1" i="0" u="none" strike="noStrike">
              <a:solidFill>
                <a:srgbClr val="000000"/>
              </a:solidFill>
              <a:latin typeface="Tw Cen MT"/>
            </a:rPr>
            <a:pPr algn="ctr"/>
            <a:t>$30.2 B</a:t>
          </a:fld>
          <a:endParaRPr lang="en-IN" sz="2000" b="1"/>
        </a:p>
      </xdr:txBody>
    </xdr:sp>
    <xdr:clientData/>
  </xdr:twoCellAnchor>
  <xdr:twoCellAnchor>
    <xdr:from>
      <xdr:col>11</xdr:col>
      <xdr:colOff>428625</xdr:colOff>
      <xdr:row>3</xdr:row>
      <xdr:rowOff>1</xdr:rowOff>
    </xdr:from>
    <xdr:to>
      <xdr:col>13</xdr:col>
      <xdr:colOff>415018</xdr:colOff>
      <xdr:row>4</xdr:row>
      <xdr:rowOff>61233</xdr:rowOff>
    </xdr:to>
    <xdr:sp macro="" textlink="'Pivot Table'!B5">
      <xdr:nvSpPr>
        <xdr:cNvPr id="30" name="TextBox 29">
          <a:extLst>
            <a:ext uri="{FF2B5EF4-FFF2-40B4-BE49-F238E27FC236}">
              <a16:creationId xmlns:a16="http://schemas.microsoft.com/office/drawing/2014/main" id="{FB04FC9A-8A76-48D4-351C-F9AA8C837106}"/>
            </a:ext>
          </a:extLst>
        </xdr:cNvPr>
        <xdr:cNvSpPr txBox="1"/>
      </xdr:nvSpPr>
      <xdr:spPr>
        <a:xfrm>
          <a:off x="7837714" y="530680"/>
          <a:ext cx="1333500" cy="238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65310C-B183-4CB5-B4C2-FFEFFFB09A53}" type="TxLink">
            <a:rPr lang="en-US" sz="1800" b="1" i="0" u="none" strike="noStrike">
              <a:solidFill>
                <a:schemeClr val="tx1"/>
              </a:solidFill>
              <a:latin typeface="Tw Cen MT"/>
            </a:rPr>
            <a:pPr algn="ctr"/>
            <a:t>$32.8 M</a:t>
          </a:fld>
          <a:endParaRPr lang="en-IN" sz="1800" b="1">
            <a:solidFill>
              <a:schemeClr val="tx1"/>
            </a:solidFill>
          </a:endParaRPr>
        </a:p>
      </xdr:txBody>
    </xdr:sp>
    <xdr:clientData/>
  </xdr:twoCellAnchor>
  <xdr:twoCellAnchor editAs="oneCell">
    <xdr:from>
      <xdr:col>4</xdr:col>
      <xdr:colOff>346982</xdr:colOff>
      <xdr:row>2</xdr:row>
      <xdr:rowOff>81643</xdr:rowOff>
    </xdr:from>
    <xdr:to>
      <xdr:col>5</xdr:col>
      <xdr:colOff>149678</xdr:colOff>
      <xdr:row>4</xdr:row>
      <xdr:rowOff>27522</xdr:rowOff>
    </xdr:to>
    <xdr:pic>
      <xdr:nvPicPr>
        <xdr:cNvPr id="5" name="Graphic 4" descr="Money with solid fill">
          <a:extLst>
            <a:ext uri="{FF2B5EF4-FFF2-40B4-BE49-F238E27FC236}">
              <a16:creationId xmlns:a16="http://schemas.microsoft.com/office/drawing/2014/main" id="{7E2BA70D-7B61-CF72-8D20-A08C5D07C562}"/>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3041196" y="435429"/>
          <a:ext cx="476250" cy="299664"/>
        </a:xfrm>
        <a:prstGeom prst="rect">
          <a:avLst/>
        </a:prstGeom>
      </xdr:spPr>
    </xdr:pic>
    <xdr:clientData/>
  </xdr:twoCellAnchor>
  <xdr:twoCellAnchor editAs="oneCell">
    <xdr:from>
      <xdr:col>7</xdr:col>
      <xdr:colOff>612320</xdr:colOff>
      <xdr:row>2</xdr:row>
      <xdr:rowOff>74839</xdr:rowOff>
    </xdr:from>
    <xdr:to>
      <xdr:col>8</xdr:col>
      <xdr:colOff>306160</xdr:colOff>
      <xdr:row>4</xdr:row>
      <xdr:rowOff>88448</xdr:rowOff>
    </xdr:to>
    <xdr:pic>
      <xdr:nvPicPr>
        <xdr:cNvPr id="19" name="Graphic 18" descr="Thumbs up sign with solid fill">
          <a:extLst>
            <a:ext uri="{FF2B5EF4-FFF2-40B4-BE49-F238E27FC236}">
              <a16:creationId xmlns:a16="http://schemas.microsoft.com/office/drawing/2014/main" id="{387D2E72-D8D3-C746-BADE-984EC592421D}"/>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327195" y="428625"/>
          <a:ext cx="367394" cy="367394"/>
        </a:xfrm>
        <a:prstGeom prst="rect">
          <a:avLst/>
        </a:prstGeom>
      </xdr:spPr>
    </xdr:pic>
    <xdr:clientData/>
  </xdr:twoCellAnchor>
  <xdr:twoCellAnchor editAs="oneCell">
    <xdr:from>
      <xdr:col>11</xdr:col>
      <xdr:colOff>299358</xdr:colOff>
      <xdr:row>2</xdr:row>
      <xdr:rowOff>34019</xdr:rowOff>
    </xdr:from>
    <xdr:to>
      <xdr:col>12</xdr:col>
      <xdr:colOff>6804</xdr:colOff>
      <xdr:row>4</xdr:row>
      <xdr:rowOff>45994</xdr:rowOff>
    </xdr:to>
    <xdr:pic>
      <xdr:nvPicPr>
        <xdr:cNvPr id="6" name="Graphic 5" descr="Shopping cart with solid fill">
          <a:extLst>
            <a:ext uri="{FF2B5EF4-FFF2-40B4-BE49-F238E27FC236}">
              <a16:creationId xmlns:a16="http://schemas.microsoft.com/office/drawing/2014/main" id="{BAD5C4C8-93F0-8D8F-3E35-A6B58B039BE2}"/>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7708447" y="387805"/>
          <a:ext cx="381000" cy="365760"/>
        </a:xfrm>
        <a:prstGeom prst="rect">
          <a:avLst/>
        </a:prstGeom>
      </xdr:spPr>
    </xdr:pic>
    <xdr:clientData/>
  </xdr:twoCellAnchor>
  <xdr:twoCellAnchor>
    <xdr:from>
      <xdr:col>0</xdr:col>
      <xdr:colOff>102054</xdr:colOff>
      <xdr:row>32</xdr:row>
      <xdr:rowOff>136073</xdr:rowOff>
    </xdr:from>
    <xdr:to>
      <xdr:col>5</xdr:col>
      <xdr:colOff>231322</xdr:colOff>
      <xdr:row>33</xdr:row>
      <xdr:rowOff>115662</xdr:rowOff>
    </xdr:to>
    <xdr:sp macro="" textlink="">
      <xdr:nvSpPr>
        <xdr:cNvPr id="3" name="Rectangle: Rounded Corners 2">
          <a:extLst>
            <a:ext uri="{FF2B5EF4-FFF2-40B4-BE49-F238E27FC236}">
              <a16:creationId xmlns:a16="http://schemas.microsoft.com/office/drawing/2014/main" id="{C151F1A6-A8A6-6BD1-D8D7-2333BF722DFE}"/>
            </a:ext>
          </a:extLst>
        </xdr:cNvPr>
        <xdr:cNvSpPr/>
      </xdr:nvSpPr>
      <xdr:spPr>
        <a:xfrm>
          <a:off x="102054" y="5796644"/>
          <a:ext cx="3497036" cy="15648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a:t>Image Source: </a:t>
          </a:r>
          <a:r>
            <a:rPr lang="en-IN">
              <a:solidFill>
                <a:srgbClr val="FF0000"/>
              </a:solidFill>
              <a:hlinkClick xmlns:r="http://schemas.openxmlformats.org/officeDocument/2006/relationships" r:id="">
                <a:extLst>
                  <a:ext uri="{A12FA001-AC4F-418D-AE19-62706E023703}">
                    <ahyp:hlinkClr xmlns:ahyp="http://schemas.microsoft.com/office/drawing/2018/hyperlinkcolor" val="tx"/>
                  </a:ext>
                </a:extLst>
              </a:hlinkClick>
            </a:rPr>
            <a:t>AVNation TV</a:t>
          </a:r>
          <a:r>
            <a:rPr lang="en-IN">
              <a:solidFill>
                <a:srgbClr val="FF0000"/>
              </a:solidFill>
            </a:rPr>
            <a:t> </a:t>
          </a:r>
          <a:r>
            <a:rPr lang="en-IN"/>
            <a:t>| Author: AVNation Staff</a:t>
          </a:r>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gam yeole" refreshedDate="46137.794719675927" createdVersion="8" refreshedVersion="8" minRefreshableVersion="3" recordCount="1000" xr:uid="{8EED5469-5788-4580-9EEF-5FB327E4F648}">
  <cacheSource type="worksheet">
    <worksheetSource name="Samsungdata"/>
  </cacheSource>
  <cacheFields count="12">
    <cacheField name="Year" numFmtId="0">
      <sharedItems containsSemiMixedTypes="0" containsString="0" containsNumber="1" containsInteger="1" minValue="2019" maxValue="2024" count="6">
        <n v="2019"/>
        <n v="2020"/>
        <n v="2021"/>
        <n v="2022"/>
        <n v="2023"/>
        <n v="2024"/>
      </sharedItems>
    </cacheField>
    <cacheField name="Quarter" numFmtId="0">
      <sharedItems count="4">
        <s v="Q1"/>
        <s v="Q2"/>
        <s v="Q3"/>
        <s v="Q4"/>
      </sharedItems>
    </cacheField>
    <cacheField name="Product Model" numFmtId="0">
      <sharedItems count="15">
        <s v="Galaxy S10"/>
        <s v="Galaxy Note10"/>
        <s v="Galaxy S20"/>
        <s v="Galaxy Note20"/>
        <s v="Galaxy S21"/>
        <s v="Galaxy A32 5G"/>
        <s v="Galaxy A52 5G"/>
        <s v="Galaxy A73 5G"/>
        <s v="Galaxy Z Fold2 5G"/>
        <s v="Galaxy Z Flip3 5G"/>
        <s v="Galaxy S22 5G"/>
        <s v="Galaxy Z Fold3 5G"/>
        <s v="Galaxy A14 5G"/>
        <s v="Galaxy S23 5G"/>
        <s v="Galaxy Z Flip5 5G"/>
      </sharedItems>
    </cacheField>
    <cacheField name="5G Capability" numFmtId="0">
      <sharedItems count="2">
        <s v="No"/>
        <s v="Yes"/>
      </sharedItems>
    </cacheField>
    <cacheField name="Units Sold" numFmtId="4">
      <sharedItems containsSemiMixedTypes="0" containsString="0" containsNumber="1" containsInteger="1" minValue="5309" maxValue="64883"/>
    </cacheField>
    <cacheField name="Revenue ($)" numFmtId="165">
      <sharedItems containsSemiMixedTypes="0" containsString="0" containsNumber="1" minValue="2987436.3840000001" maxValue="84264943.840000004"/>
    </cacheField>
    <cacheField name="Market Share (%)" numFmtId="9">
      <sharedItems containsSemiMixedTypes="0" containsString="0" containsNumber="1" minValue="-0.49" maxValue="6.95"/>
    </cacheField>
    <cacheField name="Regional 5G Coverage (%)" numFmtId="9">
      <sharedItems containsSemiMixedTypes="0" containsString="0" containsNumber="1" minValue="25.34" maxValue="103.92"/>
    </cacheField>
    <cacheField name="5G Subscribers (millions)" numFmtId="0">
      <sharedItems containsSemiMixedTypes="0" containsString="0" containsNumber="1" minValue="-0.89" maxValue="54.94"/>
    </cacheField>
    <cacheField name="Avg 5G Speed (Mbps)" numFmtId="0">
      <sharedItems containsSemiMixedTypes="0" containsString="0" containsNumber="1" minValue="50.37" maxValue="298.7"/>
    </cacheField>
    <cacheField name="Preference for 5G (%)" numFmtId="9">
      <sharedItems containsSemiMixedTypes="0" containsString="0" containsNumber="1" minValue="37.14" maxValue="94.84"/>
    </cacheField>
    <cacheField name="Region" numFmtId="0">
      <sharedItems count="5">
        <s v="Asia-Pacific"/>
        <s v="Latin America"/>
        <s v="Middle East &amp; Africa"/>
        <s v="North America"/>
        <s v="Europe"/>
      </sharedItems>
    </cacheField>
  </cacheFields>
  <extLst>
    <ext xmlns:x14="http://schemas.microsoft.com/office/spreadsheetml/2009/9/main" uri="{725AE2AE-9491-48be-B2B4-4EB974FC3084}">
      <x14:pivotCacheDefinition pivotCacheId="5969170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n v="26396"/>
    <n v="4212951.0480000004"/>
    <n v="1.04"/>
    <n v="57.36"/>
    <n v="39.549999999999997"/>
    <n v="293.10000000000002"/>
    <n v="55.87"/>
    <x v="0"/>
  </r>
  <r>
    <x v="0"/>
    <x v="0"/>
    <x v="1"/>
    <x v="0"/>
    <n v="25671"/>
    <n v="7240265.60399999"/>
    <n v="2.82"/>
    <n v="85.8"/>
    <n v="42.58"/>
    <n v="67.459999999999994"/>
    <n v="37.26"/>
    <x v="1"/>
  </r>
  <r>
    <x v="0"/>
    <x v="0"/>
    <x v="2"/>
    <x v="0"/>
    <n v="16573"/>
    <n v="25608331.510000002"/>
    <n v="-0.03"/>
    <n v="47.02"/>
    <n v="3.78"/>
    <n v="77.25"/>
    <n v="84.66"/>
    <x v="2"/>
  </r>
  <r>
    <x v="0"/>
    <x v="0"/>
    <x v="3"/>
    <x v="0"/>
    <n v="7177"/>
    <n v="21984415.829999998"/>
    <n v="0.84"/>
    <n v="25.7"/>
    <n v="23.41"/>
    <n v="105.27"/>
    <n v="40.03"/>
    <x v="3"/>
  </r>
  <r>
    <x v="0"/>
    <x v="0"/>
    <x v="4"/>
    <x v="0"/>
    <n v="45633"/>
    <n v="16342437.5"/>
    <n v="2.36"/>
    <n v="89.13"/>
    <n v="44.43"/>
    <n v="206.17"/>
    <n v="76.88"/>
    <x v="1"/>
  </r>
  <r>
    <x v="0"/>
    <x v="0"/>
    <x v="5"/>
    <x v="1"/>
    <n v="15912"/>
    <n v="17178326.899999999"/>
    <n v="5.41"/>
    <n v="59.12"/>
    <n v="12.14"/>
    <n v="179.15"/>
    <n v="80.790000000000006"/>
    <x v="2"/>
  </r>
  <r>
    <x v="0"/>
    <x v="0"/>
    <x v="6"/>
    <x v="1"/>
    <n v="7231"/>
    <n v="48639810.189999998"/>
    <n v="5.9"/>
    <n v="52.94"/>
    <n v="44.36"/>
    <n v="259.16000000000003"/>
    <n v="77.55"/>
    <x v="1"/>
  </r>
  <r>
    <x v="0"/>
    <x v="0"/>
    <x v="7"/>
    <x v="1"/>
    <n v="58711"/>
    <n v="70175779.069999993"/>
    <n v="4.92"/>
    <n v="79.95"/>
    <n v="49.7"/>
    <n v="191.42"/>
    <n v="74.83"/>
    <x v="4"/>
  </r>
  <r>
    <x v="0"/>
    <x v="0"/>
    <x v="8"/>
    <x v="1"/>
    <n v="40641"/>
    <n v="51959555.759999998"/>
    <n v="2.64"/>
    <n v="44.77"/>
    <n v="31.27"/>
    <n v="151.18"/>
    <n v="66.509999999999906"/>
    <x v="3"/>
  </r>
  <r>
    <x v="0"/>
    <x v="0"/>
    <x v="9"/>
    <x v="1"/>
    <n v="38119"/>
    <n v="49899540.799999997"/>
    <n v="6.84"/>
    <n v="51.21"/>
    <n v="38.33"/>
    <n v="284.33"/>
    <n v="87.01"/>
    <x v="1"/>
  </r>
  <r>
    <x v="0"/>
    <x v="0"/>
    <x v="10"/>
    <x v="1"/>
    <n v="36255"/>
    <n v="12091673.939999999"/>
    <n v="4.66"/>
    <n v="56.5"/>
    <n v="9.77"/>
    <n v="81.430000000000007"/>
    <n v="85.88"/>
    <x v="2"/>
  </r>
  <r>
    <x v="0"/>
    <x v="0"/>
    <x v="11"/>
    <x v="1"/>
    <n v="19643"/>
    <n v="36029498.520000003"/>
    <n v="5.67"/>
    <n v="76.62"/>
    <n v="22.84"/>
    <n v="220.82"/>
    <n v="88.16"/>
    <x v="0"/>
  </r>
  <r>
    <x v="0"/>
    <x v="0"/>
    <x v="12"/>
    <x v="1"/>
    <n v="12612"/>
    <n v="57161551.82"/>
    <n v="3.24"/>
    <n v="64.479999999999905"/>
    <n v="14.98"/>
    <n v="161.49"/>
    <n v="85.67"/>
    <x v="2"/>
  </r>
  <r>
    <x v="0"/>
    <x v="0"/>
    <x v="13"/>
    <x v="1"/>
    <n v="22722"/>
    <n v="45310946.807999998"/>
    <n v="2.88"/>
    <n v="87.12"/>
    <n v="19.04"/>
    <n v="233.87"/>
    <n v="45.66"/>
    <x v="4"/>
  </r>
  <r>
    <x v="0"/>
    <x v="0"/>
    <x v="14"/>
    <x v="1"/>
    <n v="8453"/>
    <n v="46937282.289999999"/>
    <n v="3.48"/>
    <n v="72.729999999999905"/>
    <n v="23.32"/>
    <n v="130.87"/>
    <n v="53.81"/>
    <x v="1"/>
  </r>
  <r>
    <x v="0"/>
    <x v="1"/>
    <x v="0"/>
    <x v="0"/>
    <n v="19160"/>
    <n v="6660064.7999999998"/>
    <n v="1.56"/>
    <n v="67.69"/>
    <n v="14.6"/>
    <n v="156.93"/>
    <n v="64.040000000000006"/>
    <x v="2"/>
  </r>
  <r>
    <x v="0"/>
    <x v="1"/>
    <x v="1"/>
    <x v="0"/>
    <n v="38253"/>
    <n v="53195937.002999999"/>
    <n v="-0.05"/>
    <n v="76.73"/>
    <n v="31.96"/>
    <n v="273.85000000000002"/>
    <n v="38.28"/>
    <x v="2"/>
  </r>
  <r>
    <x v="0"/>
    <x v="1"/>
    <x v="2"/>
    <x v="0"/>
    <n v="17404"/>
    <n v="14950208.85"/>
    <n v="2.5099999999999998"/>
    <n v="38.86"/>
    <n v="36.380000000000003"/>
    <n v="105.21"/>
    <n v="67.78"/>
    <x v="2"/>
  </r>
  <r>
    <x v="0"/>
    <x v="1"/>
    <x v="3"/>
    <x v="0"/>
    <n v="27841"/>
    <n v="9787426.5150000006"/>
    <n v="3.96"/>
    <n v="75.22"/>
    <n v="46.41"/>
    <n v="283.25"/>
    <n v="44.96"/>
    <x v="2"/>
  </r>
  <r>
    <x v="0"/>
    <x v="1"/>
    <x v="4"/>
    <x v="0"/>
    <n v="10047"/>
    <n v="10691516.9"/>
    <n v="1.56"/>
    <n v="45.75"/>
    <n v="15.36"/>
    <n v="112.81"/>
    <n v="85.33"/>
    <x v="2"/>
  </r>
  <r>
    <x v="0"/>
    <x v="1"/>
    <x v="5"/>
    <x v="1"/>
    <n v="25054"/>
    <n v="40495943.740000002"/>
    <n v="4.6399999999999997"/>
    <n v="67.39"/>
    <n v="21.03"/>
    <n v="212.78"/>
    <n v="63.69"/>
    <x v="4"/>
  </r>
  <r>
    <x v="0"/>
    <x v="1"/>
    <x v="6"/>
    <x v="1"/>
    <n v="37263"/>
    <n v="29763310.309999999"/>
    <n v="2.76"/>
    <n v="55.56"/>
    <n v="16.03"/>
    <n v="263.32"/>
    <n v="64.63"/>
    <x v="0"/>
  </r>
  <r>
    <x v="0"/>
    <x v="1"/>
    <x v="7"/>
    <x v="1"/>
    <n v="39191"/>
    <n v="19631909.34"/>
    <n v="3.35"/>
    <n v="100.83"/>
    <n v="49.18"/>
    <n v="59.84"/>
    <n v="53.2"/>
    <x v="3"/>
  </r>
  <r>
    <x v="0"/>
    <x v="1"/>
    <x v="8"/>
    <x v="1"/>
    <n v="11320"/>
    <n v="36678245.920000002"/>
    <n v="5.99"/>
    <n v="50.12"/>
    <n v="43.18"/>
    <n v="251.51"/>
    <n v="88.81"/>
    <x v="3"/>
  </r>
  <r>
    <x v="0"/>
    <x v="1"/>
    <x v="9"/>
    <x v="1"/>
    <n v="31105"/>
    <n v="12818738.02"/>
    <n v="4.7699999999999996"/>
    <n v="93.04"/>
    <n v="20.52"/>
    <n v="110.55"/>
    <n v="73.069999999999993"/>
    <x v="3"/>
  </r>
  <r>
    <x v="0"/>
    <x v="1"/>
    <x v="10"/>
    <x v="1"/>
    <n v="24185"/>
    <n v="52192972.549999997"/>
    <n v="2.95"/>
    <n v="40.549999999999997"/>
    <n v="46.73"/>
    <n v="200.47"/>
    <n v="83.06"/>
    <x v="2"/>
  </r>
  <r>
    <x v="0"/>
    <x v="1"/>
    <x v="11"/>
    <x v="1"/>
    <n v="8422"/>
    <n v="11292488.050000001"/>
    <n v="6"/>
    <n v="55.76"/>
    <n v="30.55"/>
    <n v="170.31"/>
    <n v="78.44"/>
    <x v="1"/>
  </r>
  <r>
    <x v="0"/>
    <x v="1"/>
    <x v="12"/>
    <x v="1"/>
    <n v="56397"/>
    <n v="18390883.850000001"/>
    <n v="6.11"/>
    <n v="70.959999999999994"/>
    <n v="23.8"/>
    <n v="167.75"/>
    <n v="55.21"/>
    <x v="3"/>
  </r>
  <r>
    <x v="0"/>
    <x v="1"/>
    <x v="13"/>
    <x v="1"/>
    <n v="36613"/>
    <n v="63070767.789999999"/>
    <n v="3.25"/>
    <n v="83.96"/>
    <n v="13.22"/>
    <n v="280.73"/>
    <n v="75.510000000000005"/>
    <x v="3"/>
  </r>
  <r>
    <x v="0"/>
    <x v="1"/>
    <x v="14"/>
    <x v="1"/>
    <n v="12030"/>
    <n v="33549565.920000002"/>
    <n v="5.82"/>
    <n v="48.62"/>
    <n v="36.32"/>
    <n v="227.63"/>
    <n v="91.79"/>
    <x v="1"/>
  </r>
  <r>
    <x v="0"/>
    <x v="2"/>
    <x v="0"/>
    <x v="0"/>
    <n v="27112"/>
    <n v="27051337.739999998"/>
    <n v="3.78"/>
    <n v="61.35"/>
    <n v="47.48"/>
    <n v="152"/>
    <n v="50.23"/>
    <x v="3"/>
  </r>
  <r>
    <x v="0"/>
    <x v="2"/>
    <x v="1"/>
    <x v="0"/>
    <n v="28788"/>
    <n v="10130230.560000001"/>
    <n v="1.38"/>
    <n v="25.88"/>
    <n v="6.92"/>
    <n v="129.04"/>
    <n v="46.41"/>
    <x v="2"/>
  </r>
  <r>
    <x v="0"/>
    <x v="2"/>
    <x v="2"/>
    <x v="0"/>
    <n v="29329"/>
    <n v="11066723.119999999"/>
    <n v="1.23"/>
    <n v="57.98"/>
    <n v="32.340000000000003"/>
    <n v="132.81"/>
    <n v="77.31"/>
    <x v="0"/>
  </r>
  <r>
    <x v="0"/>
    <x v="2"/>
    <x v="3"/>
    <x v="0"/>
    <n v="12535"/>
    <n v="28466176.109999999"/>
    <n v="2.09"/>
    <n v="55.61"/>
    <n v="31.12"/>
    <n v="111.28"/>
    <n v="47.14"/>
    <x v="1"/>
  </r>
  <r>
    <x v="0"/>
    <x v="2"/>
    <x v="4"/>
    <x v="0"/>
    <n v="20683"/>
    <n v="15828498.960000001"/>
    <n v="0.34"/>
    <n v="30.32"/>
    <n v="-0.65"/>
    <n v="239.67"/>
    <n v="46.13"/>
    <x v="4"/>
  </r>
  <r>
    <x v="0"/>
    <x v="2"/>
    <x v="5"/>
    <x v="1"/>
    <n v="57404"/>
    <n v="22248956.960000001"/>
    <n v="6.12"/>
    <n v="83.5"/>
    <n v="46.57"/>
    <n v="211.08"/>
    <n v="58.89"/>
    <x v="4"/>
  </r>
  <r>
    <x v="0"/>
    <x v="2"/>
    <x v="6"/>
    <x v="1"/>
    <n v="56869"/>
    <n v="78970161.311999902"/>
    <n v="6.12"/>
    <n v="102.54"/>
    <n v="21.09"/>
    <n v="83.18"/>
    <n v="94.7"/>
    <x v="1"/>
  </r>
  <r>
    <x v="0"/>
    <x v="2"/>
    <x v="7"/>
    <x v="1"/>
    <n v="6542"/>
    <n v="13222480.68"/>
    <n v="3.5"/>
    <n v="88.84"/>
    <n v="26.74"/>
    <n v="115.63"/>
    <n v="54.75"/>
    <x v="0"/>
  </r>
  <r>
    <x v="0"/>
    <x v="2"/>
    <x v="8"/>
    <x v="1"/>
    <n v="57951"/>
    <n v="41600297.390000001"/>
    <n v="2.72"/>
    <n v="55.58"/>
    <n v="17.57"/>
    <n v="184.77"/>
    <n v="67.900000000000006"/>
    <x v="0"/>
  </r>
  <r>
    <x v="0"/>
    <x v="2"/>
    <x v="9"/>
    <x v="1"/>
    <n v="25004"/>
    <n v="28940719.489999998"/>
    <n v="6.33"/>
    <n v="45.56"/>
    <n v="44.29"/>
    <n v="124.19"/>
    <n v="54.15"/>
    <x v="4"/>
  </r>
  <r>
    <x v="0"/>
    <x v="2"/>
    <x v="10"/>
    <x v="1"/>
    <n v="15756"/>
    <n v="19796585.920000002"/>
    <n v="3.58"/>
    <n v="76.64"/>
    <n v="36.22"/>
    <n v="206.39"/>
    <n v="88.16"/>
    <x v="2"/>
  </r>
  <r>
    <x v="0"/>
    <x v="2"/>
    <x v="11"/>
    <x v="1"/>
    <n v="56418"/>
    <n v="53656997.799999997"/>
    <n v="6.91"/>
    <n v="54.03"/>
    <n v="24.27"/>
    <n v="61.49"/>
    <n v="87.97"/>
    <x v="2"/>
  </r>
  <r>
    <x v="0"/>
    <x v="2"/>
    <x v="12"/>
    <x v="1"/>
    <n v="30819"/>
    <n v="60274563.340000004"/>
    <n v="3.44"/>
    <n v="41.17"/>
    <n v="26.42"/>
    <n v="199.68"/>
    <n v="61.6"/>
    <x v="3"/>
  </r>
  <r>
    <x v="0"/>
    <x v="2"/>
    <x v="13"/>
    <x v="1"/>
    <n v="18284"/>
    <n v="26788292.559999999"/>
    <n v="6.45"/>
    <n v="80"/>
    <n v="23.63"/>
    <n v="137.72999999999999"/>
    <n v="81.319999999999993"/>
    <x v="1"/>
  </r>
  <r>
    <x v="0"/>
    <x v="2"/>
    <x v="14"/>
    <x v="1"/>
    <n v="48617"/>
    <n v="6134803.4639999997"/>
    <n v="6.48"/>
    <n v="91.79"/>
    <n v="54.94"/>
    <n v="88.28"/>
    <n v="82.55"/>
    <x v="1"/>
  </r>
  <r>
    <x v="0"/>
    <x v="3"/>
    <x v="0"/>
    <x v="0"/>
    <n v="30040"/>
    <n v="34166065.189999998"/>
    <n v="1.5699999999999901"/>
    <n v="28.49"/>
    <n v="47.01"/>
    <n v="243.47"/>
    <n v="58.24"/>
    <x v="3"/>
  </r>
  <r>
    <x v="0"/>
    <x v="3"/>
    <x v="1"/>
    <x v="0"/>
    <n v="40978"/>
    <n v="52202051.460000001"/>
    <n v="0.34"/>
    <n v="39.979999999999997"/>
    <n v="44.96"/>
    <n v="130.25"/>
    <n v="45.44"/>
    <x v="4"/>
  </r>
  <r>
    <x v="0"/>
    <x v="3"/>
    <x v="2"/>
    <x v="0"/>
    <n v="46113"/>
    <n v="23485210.48"/>
    <n v="1.89"/>
    <n v="69.900000000000006"/>
    <n v="13.34"/>
    <n v="167.31"/>
    <n v="45.48"/>
    <x v="4"/>
  </r>
  <r>
    <x v="0"/>
    <x v="3"/>
    <x v="3"/>
    <x v="0"/>
    <n v="8438"/>
    <n v="35324703.520000003"/>
    <n v="2.29"/>
    <n v="80.900000000000006"/>
    <n v="10.53"/>
    <n v="80.150000000000006"/>
    <n v="75.72"/>
    <x v="2"/>
  </r>
  <r>
    <x v="0"/>
    <x v="3"/>
    <x v="4"/>
    <x v="0"/>
    <n v="23500"/>
    <n v="33337345.93"/>
    <n v="3.74"/>
    <n v="33.06"/>
    <n v="18.7"/>
    <n v="73.31"/>
    <n v="70.739999999999995"/>
    <x v="4"/>
  </r>
  <r>
    <x v="0"/>
    <x v="3"/>
    <x v="5"/>
    <x v="1"/>
    <n v="40164"/>
    <n v="21739755.84"/>
    <n v="3.76"/>
    <n v="50.13"/>
    <n v="13.99"/>
    <n v="210.05"/>
    <n v="58.83"/>
    <x v="1"/>
  </r>
  <r>
    <x v="0"/>
    <x v="3"/>
    <x v="6"/>
    <x v="1"/>
    <n v="53367"/>
    <n v="69827344.420000002"/>
    <n v="6.1"/>
    <n v="95.93"/>
    <n v="47.57"/>
    <n v="185.7"/>
    <n v="93.45"/>
    <x v="3"/>
  </r>
  <r>
    <x v="0"/>
    <x v="3"/>
    <x v="7"/>
    <x v="1"/>
    <n v="37612"/>
    <n v="34802846.640000001"/>
    <n v="2.5299999999999998"/>
    <n v="66.459999999999994"/>
    <n v="24.02"/>
    <n v="120.07"/>
    <n v="87.24"/>
    <x v="2"/>
  </r>
  <r>
    <x v="0"/>
    <x v="3"/>
    <x v="8"/>
    <x v="1"/>
    <n v="31445"/>
    <n v="62662104.5"/>
    <n v="4.8599999999999897"/>
    <n v="61.44"/>
    <n v="27.46"/>
    <n v="183.03"/>
    <n v="72.209999999999994"/>
    <x v="0"/>
  </r>
  <r>
    <x v="0"/>
    <x v="3"/>
    <x v="9"/>
    <x v="1"/>
    <n v="34541"/>
    <n v="23308775.82"/>
    <n v="4.0299999999999896"/>
    <n v="59.35"/>
    <n v="8.3699999999999992"/>
    <n v="138.66999999999999"/>
    <n v="80.349999999999994"/>
    <x v="1"/>
  </r>
  <r>
    <x v="0"/>
    <x v="3"/>
    <x v="10"/>
    <x v="1"/>
    <n v="6719"/>
    <n v="38311286.359999999"/>
    <n v="5.38"/>
    <n v="42.55"/>
    <n v="50.32"/>
    <n v="110.97"/>
    <n v="87.8"/>
    <x v="0"/>
  </r>
  <r>
    <x v="0"/>
    <x v="3"/>
    <x v="11"/>
    <x v="1"/>
    <n v="32919"/>
    <n v="38143238.390000001"/>
    <n v="6.62"/>
    <n v="79.48"/>
    <n v="45.85"/>
    <n v="295.62"/>
    <n v="58.71"/>
    <x v="3"/>
  </r>
  <r>
    <x v="0"/>
    <x v="3"/>
    <x v="12"/>
    <x v="1"/>
    <n v="46371"/>
    <n v="71988709.969999999"/>
    <n v="3.21"/>
    <n v="88.89"/>
    <n v="48.87"/>
    <n v="265.70999999999998"/>
    <n v="90.81"/>
    <x v="4"/>
  </r>
  <r>
    <x v="0"/>
    <x v="3"/>
    <x v="13"/>
    <x v="1"/>
    <n v="40084"/>
    <n v="17163852.827999901"/>
    <n v="6.33"/>
    <n v="42.8"/>
    <n v="48.55"/>
    <n v="156.88"/>
    <n v="53.55"/>
    <x v="0"/>
  </r>
  <r>
    <x v="0"/>
    <x v="3"/>
    <x v="14"/>
    <x v="1"/>
    <n v="20192"/>
    <n v="14639182.699999999"/>
    <n v="4.6099999999999897"/>
    <n v="48.26"/>
    <n v="50.86"/>
    <n v="195.2"/>
    <n v="60.91"/>
    <x v="1"/>
  </r>
  <r>
    <x v="0"/>
    <x v="0"/>
    <x v="0"/>
    <x v="0"/>
    <n v="26396"/>
    <n v="4212951.0480000004"/>
    <n v="1.04"/>
    <n v="57.36"/>
    <n v="39.549999999999997"/>
    <n v="293.10000000000002"/>
    <n v="55.87"/>
    <x v="0"/>
  </r>
  <r>
    <x v="0"/>
    <x v="0"/>
    <x v="1"/>
    <x v="0"/>
    <n v="25671"/>
    <n v="7240265.60399999"/>
    <n v="2.82"/>
    <n v="85.8"/>
    <n v="42.58"/>
    <n v="67.459999999999994"/>
    <n v="37.26"/>
    <x v="1"/>
  </r>
  <r>
    <x v="0"/>
    <x v="0"/>
    <x v="2"/>
    <x v="0"/>
    <n v="16573"/>
    <n v="25608331.510000002"/>
    <n v="-0.03"/>
    <n v="47.02"/>
    <n v="3.78"/>
    <n v="77.25"/>
    <n v="84.66"/>
    <x v="2"/>
  </r>
  <r>
    <x v="0"/>
    <x v="0"/>
    <x v="3"/>
    <x v="0"/>
    <n v="7177"/>
    <n v="21984415.829999998"/>
    <n v="0.84"/>
    <n v="25.7"/>
    <n v="23.41"/>
    <n v="105.27"/>
    <n v="40.03"/>
    <x v="3"/>
  </r>
  <r>
    <x v="0"/>
    <x v="0"/>
    <x v="4"/>
    <x v="0"/>
    <n v="45633"/>
    <n v="16342437.5"/>
    <n v="2.36"/>
    <n v="89.13"/>
    <n v="44.43"/>
    <n v="206.17"/>
    <n v="76.88"/>
    <x v="1"/>
  </r>
  <r>
    <x v="0"/>
    <x v="0"/>
    <x v="5"/>
    <x v="1"/>
    <n v="15912"/>
    <n v="17178326.899999999"/>
    <n v="5.41"/>
    <n v="59.12"/>
    <n v="12.14"/>
    <n v="179.15"/>
    <n v="80.790000000000006"/>
    <x v="2"/>
  </r>
  <r>
    <x v="0"/>
    <x v="0"/>
    <x v="6"/>
    <x v="1"/>
    <n v="7231"/>
    <n v="48639810.189999998"/>
    <n v="5.9"/>
    <n v="52.94"/>
    <n v="44.36"/>
    <n v="259.16000000000003"/>
    <n v="77.55"/>
    <x v="1"/>
  </r>
  <r>
    <x v="0"/>
    <x v="0"/>
    <x v="7"/>
    <x v="1"/>
    <n v="58711"/>
    <n v="70175779.069999993"/>
    <n v="4.92"/>
    <n v="79.95"/>
    <n v="49.7"/>
    <n v="191.42"/>
    <n v="74.83"/>
    <x v="4"/>
  </r>
  <r>
    <x v="0"/>
    <x v="0"/>
    <x v="8"/>
    <x v="1"/>
    <n v="40641"/>
    <n v="51959555.759999998"/>
    <n v="2.64"/>
    <n v="44.77"/>
    <n v="31.27"/>
    <n v="151.18"/>
    <n v="66.509999999999906"/>
    <x v="3"/>
  </r>
  <r>
    <x v="0"/>
    <x v="0"/>
    <x v="9"/>
    <x v="1"/>
    <n v="38119"/>
    <n v="49899540.799999997"/>
    <n v="6.84"/>
    <n v="51.21"/>
    <n v="38.33"/>
    <n v="284.33"/>
    <n v="87.01"/>
    <x v="1"/>
  </r>
  <r>
    <x v="0"/>
    <x v="0"/>
    <x v="10"/>
    <x v="1"/>
    <n v="36255"/>
    <n v="12091673.939999999"/>
    <n v="4.66"/>
    <n v="56.5"/>
    <n v="9.77"/>
    <n v="81.430000000000007"/>
    <n v="85.88"/>
    <x v="2"/>
  </r>
  <r>
    <x v="0"/>
    <x v="0"/>
    <x v="11"/>
    <x v="1"/>
    <n v="19643"/>
    <n v="36029498.520000003"/>
    <n v="5.67"/>
    <n v="76.62"/>
    <n v="22.84"/>
    <n v="220.82"/>
    <n v="88.16"/>
    <x v="0"/>
  </r>
  <r>
    <x v="0"/>
    <x v="0"/>
    <x v="12"/>
    <x v="1"/>
    <n v="12612"/>
    <n v="57161551.82"/>
    <n v="3.24"/>
    <n v="64.479999999999905"/>
    <n v="14.98"/>
    <n v="161.49"/>
    <n v="85.67"/>
    <x v="2"/>
  </r>
  <r>
    <x v="0"/>
    <x v="0"/>
    <x v="13"/>
    <x v="1"/>
    <n v="22722"/>
    <n v="45310946.807999998"/>
    <n v="2.88"/>
    <n v="87.12"/>
    <n v="19.04"/>
    <n v="233.87"/>
    <n v="45.66"/>
    <x v="4"/>
  </r>
  <r>
    <x v="0"/>
    <x v="0"/>
    <x v="14"/>
    <x v="1"/>
    <n v="8453"/>
    <n v="46937282.289999999"/>
    <n v="3.48"/>
    <n v="72.729999999999905"/>
    <n v="23.32"/>
    <n v="130.87"/>
    <n v="53.81"/>
    <x v="1"/>
  </r>
  <r>
    <x v="0"/>
    <x v="1"/>
    <x v="0"/>
    <x v="0"/>
    <n v="19160"/>
    <n v="6660064.7999999998"/>
    <n v="1.56"/>
    <n v="67.69"/>
    <n v="14.6"/>
    <n v="156.93"/>
    <n v="64.040000000000006"/>
    <x v="2"/>
  </r>
  <r>
    <x v="0"/>
    <x v="1"/>
    <x v="1"/>
    <x v="0"/>
    <n v="38253"/>
    <n v="53195937.002999999"/>
    <n v="-0.05"/>
    <n v="76.73"/>
    <n v="31.96"/>
    <n v="273.85000000000002"/>
    <n v="38.28"/>
    <x v="2"/>
  </r>
  <r>
    <x v="0"/>
    <x v="1"/>
    <x v="2"/>
    <x v="0"/>
    <n v="17404"/>
    <n v="14950208.85"/>
    <n v="2.5099999999999998"/>
    <n v="38.86"/>
    <n v="36.380000000000003"/>
    <n v="105.21"/>
    <n v="67.78"/>
    <x v="2"/>
  </r>
  <r>
    <x v="0"/>
    <x v="1"/>
    <x v="3"/>
    <x v="0"/>
    <n v="27841"/>
    <n v="9787426.5150000006"/>
    <n v="3.96"/>
    <n v="75.22"/>
    <n v="46.41"/>
    <n v="283.25"/>
    <n v="44.96"/>
    <x v="2"/>
  </r>
  <r>
    <x v="0"/>
    <x v="1"/>
    <x v="4"/>
    <x v="0"/>
    <n v="10047"/>
    <n v="10691516.9"/>
    <n v="1.56"/>
    <n v="45.75"/>
    <n v="15.36"/>
    <n v="112.81"/>
    <n v="85.33"/>
    <x v="2"/>
  </r>
  <r>
    <x v="0"/>
    <x v="1"/>
    <x v="5"/>
    <x v="1"/>
    <n v="25054"/>
    <n v="40495943.740000002"/>
    <n v="4.6399999999999997"/>
    <n v="67.39"/>
    <n v="21.03"/>
    <n v="212.78"/>
    <n v="63.69"/>
    <x v="4"/>
  </r>
  <r>
    <x v="0"/>
    <x v="1"/>
    <x v="6"/>
    <x v="1"/>
    <n v="37263"/>
    <n v="29763310.309999999"/>
    <n v="2.76"/>
    <n v="55.56"/>
    <n v="16.03"/>
    <n v="263.32"/>
    <n v="64.63"/>
    <x v="0"/>
  </r>
  <r>
    <x v="0"/>
    <x v="1"/>
    <x v="7"/>
    <x v="1"/>
    <n v="39191"/>
    <n v="19631909.34"/>
    <n v="3.35"/>
    <n v="100.83"/>
    <n v="49.18"/>
    <n v="59.84"/>
    <n v="53.2"/>
    <x v="3"/>
  </r>
  <r>
    <x v="0"/>
    <x v="1"/>
    <x v="8"/>
    <x v="1"/>
    <n v="11320"/>
    <n v="36678245.920000002"/>
    <n v="5.99"/>
    <n v="50.12"/>
    <n v="43.18"/>
    <n v="251.51"/>
    <n v="88.81"/>
    <x v="3"/>
  </r>
  <r>
    <x v="0"/>
    <x v="1"/>
    <x v="9"/>
    <x v="1"/>
    <n v="31105"/>
    <n v="12818738.02"/>
    <n v="4.7699999999999996"/>
    <n v="93.04"/>
    <n v="20.52"/>
    <n v="110.55"/>
    <n v="73.069999999999993"/>
    <x v="3"/>
  </r>
  <r>
    <x v="0"/>
    <x v="1"/>
    <x v="10"/>
    <x v="1"/>
    <n v="24185"/>
    <n v="52192972.549999997"/>
    <n v="2.95"/>
    <n v="40.549999999999997"/>
    <n v="46.73"/>
    <n v="200.47"/>
    <n v="83.06"/>
    <x v="2"/>
  </r>
  <r>
    <x v="0"/>
    <x v="1"/>
    <x v="11"/>
    <x v="1"/>
    <n v="8422"/>
    <n v="11292488.050000001"/>
    <n v="6"/>
    <n v="55.76"/>
    <n v="30.55"/>
    <n v="170.31"/>
    <n v="78.44"/>
    <x v="1"/>
  </r>
  <r>
    <x v="0"/>
    <x v="1"/>
    <x v="12"/>
    <x v="1"/>
    <n v="56397"/>
    <n v="18390883.850000001"/>
    <n v="6.11"/>
    <n v="70.959999999999994"/>
    <n v="23.8"/>
    <n v="167.75"/>
    <n v="55.21"/>
    <x v="3"/>
  </r>
  <r>
    <x v="0"/>
    <x v="1"/>
    <x v="13"/>
    <x v="1"/>
    <n v="36613"/>
    <n v="63070767.789999999"/>
    <n v="3.25"/>
    <n v="83.96"/>
    <n v="13.22"/>
    <n v="280.73"/>
    <n v="75.510000000000005"/>
    <x v="3"/>
  </r>
  <r>
    <x v="0"/>
    <x v="1"/>
    <x v="14"/>
    <x v="1"/>
    <n v="12030"/>
    <n v="33549565.920000002"/>
    <n v="5.82"/>
    <n v="48.62"/>
    <n v="36.32"/>
    <n v="227.63"/>
    <n v="91.79"/>
    <x v="1"/>
  </r>
  <r>
    <x v="0"/>
    <x v="2"/>
    <x v="0"/>
    <x v="0"/>
    <n v="27112"/>
    <n v="27051337.739999998"/>
    <n v="3.78"/>
    <n v="61.35"/>
    <n v="47.48"/>
    <n v="152"/>
    <n v="50.23"/>
    <x v="3"/>
  </r>
  <r>
    <x v="0"/>
    <x v="2"/>
    <x v="1"/>
    <x v="0"/>
    <n v="28788"/>
    <n v="10130230.560000001"/>
    <n v="1.38"/>
    <n v="25.88"/>
    <n v="6.92"/>
    <n v="129.04"/>
    <n v="46.41"/>
    <x v="2"/>
  </r>
  <r>
    <x v="0"/>
    <x v="2"/>
    <x v="2"/>
    <x v="0"/>
    <n v="29329"/>
    <n v="11066723.119999999"/>
    <n v="1.23"/>
    <n v="57.98"/>
    <n v="32.340000000000003"/>
    <n v="132.81"/>
    <n v="77.31"/>
    <x v="0"/>
  </r>
  <r>
    <x v="0"/>
    <x v="2"/>
    <x v="3"/>
    <x v="0"/>
    <n v="12535"/>
    <n v="28466176.109999999"/>
    <n v="2.09"/>
    <n v="55.61"/>
    <n v="31.12"/>
    <n v="111.28"/>
    <n v="47.14"/>
    <x v="1"/>
  </r>
  <r>
    <x v="0"/>
    <x v="2"/>
    <x v="4"/>
    <x v="0"/>
    <n v="20683"/>
    <n v="15828498.960000001"/>
    <n v="0.34"/>
    <n v="30.32"/>
    <n v="-0.65"/>
    <n v="239.67"/>
    <n v="46.13"/>
    <x v="4"/>
  </r>
  <r>
    <x v="0"/>
    <x v="2"/>
    <x v="5"/>
    <x v="1"/>
    <n v="57404"/>
    <n v="22248956.960000001"/>
    <n v="6.12"/>
    <n v="83.5"/>
    <n v="46.57"/>
    <n v="211.08"/>
    <n v="58.89"/>
    <x v="4"/>
  </r>
  <r>
    <x v="0"/>
    <x v="2"/>
    <x v="6"/>
    <x v="1"/>
    <n v="56869"/>
    <n v="78970161.311999902"/>
    <n v="6.12"/>
    <n v="102.54"/>
    <n v="21.09"/>
    <n v="83.18"/>
    <n v="94.7"/>
    <x v="1"/>
  </r>
  <r>
    <x v="0"/>
    <x v="2"/>
    <x v="7"/>
    <x v="1"/>
    <n v="6542"/>
    <n v="13222480.68"/>
    <n v="3.5"/>
    <n v="88.84"/>
    <n v="26.74"/>
    <n v="115.63"/>
    <n v="54.75"/>
    <x v="0"/>
  </r>
  <r>
    <x v="0"/>
    <x v="2"/>
    <x v="8"/>
    <x v="1"/>
    <n v="57951"/>
    <n v="41600297.390000001"/>
    <n v="2.72"/>
    <n v="55.58"/>
    <n v="17.57"/>
    <n v="184.77"/>
    <n v="67.900000000000006"/>
    <x v="0"/>
  </r>
  <r>
    <x v="0"/>
    <x v="2"/>
    <x v="9"/>
    <x v="1"/>
    <n v="25004"/>
    <n v="28940719.489999998"/>
    <n v="6.33"/>
    <n v="45.56"/>
    <n v="44.29"/>
    <n v="124.19"/>
    <n v="54.15"/>
    <x v="4"/>
  </r>
  <r>
    <x v="0"/>
    <x v="2"/>
    <x v="10"/>
    <x v="1"/>
    <n v="15756"/>
    <n v="19796585.920000002"/>
    <n v="3.58"/>
    <n v="76.64"/>
    <n v="36.22"/>
    <n v="206.39"/>
    <n v="88.16"/>
    <x v="2"/>
  </r>
  <r>
    <x v="0"/>
    <x v="2"/>
    <x v="11"/>
    <x v="1"/>
    <n v="56418"/>
    <n v="53656997.799999997"/>
    <n v="6.91"/>
    <n v="54.03"/>
    <n v="24.27"/>
    <n v="61.49"/>
    <n v="87.97"/>
    <x v="2"/>
  </r>
  <r>
    <x v="0"/>
    <x v="2"/>
    <x v="12"/>
    <x v="1"/>
    <n v="30819"/>
    <n v="60274563.340000004"/>
    <n v="3.44"/>
    <n v="41.17"/>
    <n v="26.42"/>
    <n v="199.68"/>
    <n v="61.6"/>
    <x v="3"/>
  </r>
  <r>
    <x v="0"/>
    <x v="2"/>
    <x v="13"/>
    <x v="1"/>
    <n v="18284"/>
    <n v="26788292.559999999"/>
    <n v="6.45"/>
    <n v="80"/>
    <n v="23.63"/>
    <n v="137.72999999999999"/>
    <n v="81.319999999999993"/>
    <x v="1"/>
  </r>
  <r>
    <x v="0"/>
    <x v="2"/>
    <x v="14"/>
    <x v="1"/>
    <n v="48617"/>
    <n v="6134803.4639999997"/>
    <n v="6.48"/>
    <n v="91.79"/>
    <n v="54.94"/>
    <n v="88.28"/>
    <n v="82.55"/>
    <x v="1"/>
  </r>
  <r>
    <x v="0"/>
    <x v="3"/>
    <x v="0"/>
    <x v="0"/>
    <n v="30040"/>
    <n v="34166065.189999998"/>
    <n v="1.5699999999999901"/>
    <n v="28.49"/>
    <n v="47.01"/>
    <n v="243.47"/>
    <n v="58.24"/>
    <x v="3"/>
  </r>
  <r>
    <x v="0"/>
    <x v="3"/>
    <x v="1"/>
    <x v="0"/>
    <n v="40978"/>
    <n v="52202051.460000001"/>
    <n v="0.34"/>
    <n v="39.979999999999997"/>
    <n v="44.96"/>
    <n v="130.25"/>
    <n v="45.44"/>
    <x v="4"/>
  </r>
  <r>
    <x v="0"/>
    <x v="3"/>
    <x v="2"/>
    <x v="0"/>
    <n v="46113"/>
    <n v="23485210.48"/>
    <n v="1.89"/>
    <n v="69.900000000000006"/>
    <n v="13.34"/>
    <n v="167.31"/>
    <n v="45.48"/>
    <x v="4"/>
  </r>
  <r>
    <x v="0"/>
    <x v="3"/>
    <x v="3"/>
    <x v="0"/>
    <n v="8438"/>
    <n v="35324703.520000003"/>
    <n v="2.29"/>
    <n v="80.900000000000006"/>
    <n v="10.53"/>
    <n v="80.150000000000006"/>
    <n v="75.72"/>
    <x v="2"/>
  </r>
  <r>
    <x v="0"/>
    <x v="3"/>
    <x v="4"/>
    <x v="0"/>
    <n v="23500"/>
    <n v="33337345.93"/>
    <n v="3.74"/>
    <n v="33.06"/>
    <n v="18.7"/>
    <n v="73.31"/>
    <n v="70.739999999999995"/>
    <x v="4"/>
  </r>
  <r>
    <x v="0"/>
    <x v="3"/>
    <x v="5"/>
    <x v="1"/>
    <n v="40164"/>
    <n v="21739755.84"/>
    <n v="3.76"/>
    <n v="50.13"/>
    <n v="13.99"/>
    <n v="210.05"/>
    <n v="58.83"/>
    <x v="1"/>
  </r>
  <r>
    <x v="0"/>
    <x v="3"/>
    <x v="6"/>
    <x v="1"/>
    <n v="53367"/>
    <n v="69827344.420000002"/>
    <n v="6.1"/>
    <n v="95.93"/>
    <n v="47.57"/>
    <n v="185.7"/>
    <n v="93.45"/>
    <x v="3"/>
  </r>
  <r>
    <x v="0"/>
    <x v="3"/>
    <x v="7"/>
    <x v="1"/>
    <n v="37612"/>
    <n v="34802846.640000001"/>
    <n v="2.5299999999999998"/>
    <n v="66.459999999999994"/>
    <n v="24.02"/>
    <n v="120.07"/>
    <n v="87.24"/>
    <x v="2"/>
  </r>
  <r>
    <x v="0"/>
    <x v="3"/>
    <x v="8"/>
    <x v="1"/>
    <n v="31445"/>
    <n v="62662104.5"/>
    <n v="4.8599999999999897"/>
    <n v="61.44"/>
    <n v="27.46"/>
    <n v="183.03"/>
    <n v="72.209999999999994"/>
    <x v="0"/>
  </r>
  <r>
    <x v="0"/>
    <x v="3"/>
    <x v="9"/>
    <x v="1"/>
    <n v="34541"/>
    <n v="23308775.82"/>
    <n v="4.0299999999999896"/>
    <n v="59.35"/>
    <n v="8.3699999999999992"/>
    <n v="138.66999999999999"/>
    <n v="80.349999999999994"/>
    <x v="1"/>
  </r>
  <r>
    <x v="0"/>
    <x v="3"/>
    <x v="10"/>
    <x v="1"/>
    <n v="6719"/>
    <n v="38311286.359999999"/>
    <n v="5.38"/>
    <n v="42.55"/>
    <n v="50.32"/>
    <n v="110.97"/>
    <n v="87.8"/>
    <x v="0"/>
  </r>
  <r>
    <x v="0"/>
    <x v="3"/>
    <x v="11"/>
    <x v="1"/>
    <n v="32919"/>
    <n v="38143238.390000001"/>
    <n v="6.62"/>
    <n v="79.48"/>
    <n v="45.85"/>
    <n v="295.62"/>
    <n v="58.71"/>
    <x v="3"/>
  </r>
  <r>
    <x v="0"/>
    <x v="3"/>
    <x v="12"/>
    <x v="1"/>
    <n v="46371"/>
    <n v="71988709.969999999"/>
    <n v="3.21"/>
    <n v="88.89"/>
    <n v="48.87"/>
    <n v="265.70999999999998"/>
    <n v="90.81"/>
    <x v="4"/>
  </r>
  <r>
    <x v="0"/>
    <x v="3"/>
    <x v="13"/>
    <x v="1"/>
    <n v="40084"/>
    <n v="17163852.827999901"/>
    <n v="6.33"/>
    <n v="42.8"/>
    <n v="48.55"/>
    <n v="156.88"/>
    <n v="53.55"/>
    <x v="0"/>
  </r>
  <r>
    <x v="0"/>
    <x v="3"/>
    <x v="14"/>
    <x v="1"/>
    <n v="20192"/>
    <n v="14639182.699999999"/>
    <n v="4.6099999999999897"/>
    <n v="48.26"/>
    <n v="50.86"/>
    <n v="195.2"/>
    <n v="60.91"/>
    <x v="1"/>
  </r>
  <r>
    <x v="0"/>
    <x v="2"/>
    <x v="5"/>
    <x v="1"/>
    <n v="57404"/>
    <n v="22248956.960000001"/>
    <n v="6.12"/>
    <n v="83.5"/>
    <n v="46.57"/>
    <n v="211.08"/>
    <n v="58.89"/>
    <x v="4"/>
  </r>
  <r>
    <x v="0"/>
    <x v="0"/>
    <x v="10"/>
    <x v="1"/>
    <n v="36255"/>
    <n v="12091673.939999999"/>
    <n v="4.66"/>
    <n v="56.5"/>
    <n v="9.77"/>
    <n v="81.430000000000007"/>
    <n v="85.88"/>
    <x v="2"/>
  </r>
  <r>
    <x v="0"/>
    <x v="3"/>
    <x v="5"/>
    <x v="1"/>
    <n v="40164"/>
    <n v="21739755.84"/>
    <n v="3.76"/>
    <n v="50.13"/>
    <n v="13.99"/>
    <n v="210.05"/>
    <n v="58.83"/>
    <x v="1"/>
  </r>
  <r>
    <x v="0"/>
    <x v="0"/>
    <x v="9"/>
    <x v="1"/>
    <n v="38119"/>
    <n v="49899540.799999997"/>
    <n v="6.84"/>
    <n v="51.21"/>
    <n v="38.33"/>
    <n v="284.33"/>
    <n v="87.01"/>
    <x v="1"/>
  </r>
  <r>
    <x v="0"/>
    <x v="3"/>
    <x v="6"/>
    <x v="1"/>
    <n v="53367"/>
    <n v="69827344.420000002"/>
    <n v="6.1"/>
    <n v="95.93"/>
    <n v="47.57"/>
    <n v="185.7"/>
    <n v="93.45"/>
    <x v="3"/>
  </r>
  <r>
    <x v="0"/>
    <x v="2"/>
    <x v="10"/>
    <x v="1"/>
    <n v="15756"/>
    <n v="19796585.920000002"/>
    <n v="3.58"/>
    <n v="76.64"/>
    <n v="36.22"/>
    <n v="206.39"/>
    <n v="88.16"/>
    <x v="2"/>
  </r>
  <r>
    <x v="0"/>
    <x v="2"/>
    <x v="11"/>
    <x v="1"/>
    <n v="56418"/>
    <n v="53656997.799999997"/>
    <n v="6.91"/>
    <n v="54.03"/>
    <n v="24.27"/>
    <n v="61.49"/>
    <n v="87.97"/>
    <x v="2"/>
  </r>
  <r>
    <x v="0"/>
    <x v="0"/>
    <x v="1"/>
    <x v="0"/>
    <n v="25671"/>
    <n v="7240265.60399999"/>
    <n v="2.82"/>
    <n v="85.8"/>
    <n v="42.58"/>
    <n v="67.459999999999994"/>
    <n v="37.26"/>
    <x v="1"/>
  </r>
  <r>
    <x v="0"/>
    <x v="0"/>
    <x v="0"/>
    <x v="0"/>
    <n v="26396"/>
    <n v="4212951.0480000004"/>
    <n v="1.04"/>
    <n v="57.36"/>
    <n v="39.549999999999997"/>
    <n v="293.10000000000002"/>
    <n v="55.87"/>
    <x v="0"/>
  </r>
  <r>
    <x v="0"/>
    <x v="0"/>
    <x v="3"/>
    <x v="0"/>
    <n v="7177"/>
    <n v="21984415.829999998"/>
    <n v="0.84"/>
    <n v="25.7"/>
    <n v="23.41"/>
    <n v="105.27"/>
    <n v="40.03"/>
    <x v="3"/>
  </r>
  <r>
    <x v="0"/>
    <x v="2"/>
    <x v="8"/>
    <x v="1"/>
    <n v="57951"/>
    <n v="41600297.390000001"/>
    <n v="2.72"/>
    <n v="55.58"/>
    <n v="17.57"/>
    <n v="184.77"/>
    <n v="67.900000000000006"/>
    <x v="0"/>
  </r>
  <r>
    <x v="0"/>
    <x v="1"/>
    <x v="2"/>
    <x v="0"/>
    <n v="17404"/>
    <n v="14950208.85"/>
    <n v="2.5099999999999998"/>
    <n v="38.86"/>
    <n v="36.380000000000003"/>
    <n v="105.21"/>
    <n v="67.78"/>
    <x v="2"/>
  </r>
  <r>
    <x v="0"/>
    <x v="0"/>
    <x v="1"/>
    <x v="0"/>
    <n v="25671"/>
    <n v="7240265.60399999"/>
    <n v="2.82"/>
    <n v="85.8"/>
    <n v="42.58"/>
    <n v="67.459999999999994"/>
    <n v="37.26"/>
    <x v="1"/>
  </r>
  <r>
    <x v="0"/>
    <x v="1"/>
    <x v="13"/>
    <x v="1"/>
    <n v="36613"/>
    <n v="63070767.789999999"/>
    <n v="3.25"/>
    <n v="83.96"/>
    <n v="13.22"/>
    <n v="280.73"/>
    <n v="75.510000000000005"/>
    <x v="3"/>
  </r>
  <r>
    <x v="0"/>
    <x v="3"/>
    <x v="3"/>
    <x v="0"/>
    <n v="8438"/>
    <n v="35324703.520000003"/>
    <n v="2.29"/>
    <n v="80.900000000000006"/>
    <n v="10.53"/>
    <n v="80.150000000000006"/>
    <n v="75.72"/>
    <x v="2"/>
  </r>
  <r>
    <x v="0"/>
    <x v="0"/>
    <x v="9"/>
    <x v="1"/>
    <n v="38119"/>
    <n v="49899540.799999997"/>
    <n v="6.84"/>
    <n v="51.21"/>
    <n v="38.33"/>
    <n v="284.33"/>
    <n v="87.01"/>
    <x v="1"/>
  </r>
  <r>
    <x v="0"/>
    <x v="2"/>
    <x v="13"/>
    <x v="1"/>
    <n v="18284"/>
    <n v="26788292.559999999"/>
    <n v="6.45"/>
    <n v="80"/>
    <n v="23.63"/>
    <n v="137.72999999999999"/>
    <n v="81.319999999999993"/>
    <x v="1"/>
  </r>
  <r>
    <x v="0"/>
    <x v="1"/>
    <x v="9"/>
    <x v="1"/>
    <n v="31105"/>
    <n v="12818738.02"/>
    <n v="4.7699999999999996"/>
    <n v="93.04"/>
    <n v="20.52"/>
    <n v="110.55"/>
    <n v="73.069999999999993"/>
    <x v="3"/>
  </r>
  <r>
    <x v="0"/>
    <x v="1"/>
    <x v="13"/>
    <x v="1"/>
    <n v="36613"/>
    <n v="63070767.789999999"/>
    <n v="3.25"/>
    <n v="83.96"/>
    <n v="13.22"/>
    <n v="280.73"/>
    <n v="75.510000000000005"/>
    <x v="3"/>
  </r>
  <r>
    <x v="0"/>
    <x v="2"/>
    <x v="3"/>
    <x v="0"/>
    <n v="12535"/>
    <n v="28466176.109999999"/>
    <n v="2.09"/>
    <n v="55.61"/>
    <n v="31.12"/>
    <n v="111.28"/>
    <n v="47.14"/>
    <x v="1"/>
  </r>
  <r>
    <x v="0"/>
    <x v="2"/>
    <x v="4"/>
    <x v="0"/>
    <n v="20683"/>
    <n v="15828498.960000001"/>
    <n v="0.34"/>
    <n v="30.32"/>
    <n v="-0.65"/>
    <n v="239.67"/>
    <n v="46.13"/>
    <x v="4"/>
  </r>
  <r>
    <x v="0"/>
    <x v="2"/>
    <x v="0"/>
    <x v="0"/>
    <n v="27112"/>
    <n v="27051337.739999998"/>
    <n v="3.78"/>
    <n v="61.35"/>
    <n v="47.48"/>
    <n v="152"/>
    <n v="50.23"/>
    <x v="3"/>
  </r>
  <r>
    <x v="0"/>
    <x v="0"/>
    <x v="9"/>
    <x v="1"/>
    <n v="38119"/>
    <n v="49899540.799999997"/>
    <n v="6.84"/>
    <n v="51.21"/>
    <n v="38.33"/>
    <n v="284.33"/>
    <n v="87.01"/>
    <x v="1"/>
  </r>
  <r>
    <x v="0"/>
    <x v="3"/>
    <x v="2"/>
    <x v="0"/>
    <n v="46113"/>
    <n v="23485210.48"/>
    <n v="1.89"/>
    <n v="69.900000000000006"/>
    <n v="13.34"/>
    <n v="167.31"/>
    <n v="45.48"/>
    <x v="4"/>
  </r>
  <r>
    <x v="0"/>
    <x v="1"/>
    <x v="14"/>
    <x v="1"/>
    <n v="12030"/>
    <n v="33549565.920000002"/>
    <n v="5.82"/>
    <n v="48.62"/>
    <n v="36.32"/>
    <n v="227.63"/>
    <n v="91.79"/>
    <x v="1"/>
  </r>
  <r>
    <x v="0"/>
    <x v="0"/>
    <x v="11"/>
    <x v="1"/>
    <n v="19643"/>
    <n v="36029498.520000003"/>
    <n v="5.67"/>
    <n v="76.62"/>
    <n v="22.84"/>
    <n v="220.82"/>
    <n v="88.16"/>
    <x v="0"/>
  </r>
  <r>
    <x v="0"/>
    <x v="0"/>
    <x v="1"/>
    <x v="0"/>
    <n v="25671"/>
    <n v="7240265.60399999"/>
    <n v="2.82"/>
    <n v="85.8"/>
    <n v="42.58"/>
    <n v="67.459999999999994"/>
    <n v="37.26"/>
    <x v="1"/>
  </r>
  <r>
    <x v="0"/>
    <x v="0"/>
    <x v="8"/>
    <x v="1"/>
    <n v="40641"/>
    <n v="51959555.759999998"/>
    <n v="2.64"/>
    <n v="44.77"/>
    <n v="31.27"/>
    <n v="151.18"/>
    <n v="66.509999999999906"/>
    <x v="3"/>
  </r>
  <r>
    <x v="0"/>
    <x v="3"/>
    <x v="5"/>
    <x v="1"/>
    <n v="40164"/>
    <n v="21739755.84"/>
    <n v="3.76"/>
    <n v="50.13"/>
    <n v="13.99"/>
    <n v="210.05"/>
    <n v="58.83"/>
    <x v="1"/>
  </r>
  <r>
    <x v="0"/>
    <x v="0"/>
    <x v="7"/>
    <x v="1"/>
    <n v="58711"/>
    <n v="70175779.069999993"/>
    <n v="4.92"/>
    <n v="79.95"/>
    <n v="49.7"/>
    <n v="191.42"/>
    <n v="74.83"/>
    <x v="4"/>
  </r>
  <r>
    <x v="0"/>
    <x v="1"/>
    <x v="9"/>
    <x v="1"/>
    <n v="31105"/>
    <n v="12818738.02"/>
    <n v="4.7699999999999996"/>
    <n v="93.04"/>
    <n v="20.52"/>
    <n v="110.55"/>
    <n v="73.069999999999993"/>
    <x v="3"/>
  </r>
  <r>
    <x v="0"/>
    <x v="0"/>
    <x v="11"/>
    <x v="1"/>
    <n v="19643"/>
    <n v="36029498.520000003"/>
    <n v="5.67"/>
    <n v="76.62"/>
    <n v="22.84"/>
    <n v="220.82"/>
    <n v="88.16"/>
    <x v="0"/>
  </r>
  <r>
    <x v="0"/>
    <x v="0"/>
    <x v="7"/>
    <x v="1"/>
    <n v="58711"/>
    <n v="70175779.069999993"/>
    <n v="4.92"/>
    <n v="79.95"/>
    <n v="49.7"/>
    <n v="191.42"/>
    <n v="74.83"/>
    <x v="4"/>
  </r>
  <r>
    <x v="0"/>
    <x v="2"/>
    <x v="12"/>
    <x v="1"/>
    <n v="30819"/>
    <n v="60274563.340000004"/>
    <n v="3.44"/>
    <n v="41.17"/>
    <n v="26.42"/>
    <n v="199.68"/>
    <n v="61.6"/>
    <x v="3"/>
  </r>
  <r>
    <x v="0"/>
    <x v="2"/>
    <x v="0"/>
    <x v="0"/>
    <n v="27112"/>
    <n v="27051337.739999998"/>
    <n v="3.78"/>
    <n v="61.35"/>
    <n v="47.48"/>
    <n v="152"/>
    <n v="50.23"/>
    <x v="3"/>
  </r>
  <r>
    <x v="0"/>
    <x v="2"/>
    <x v="1"/>
    <x v="0"/>
    <n v="28788"/>
    <n v="10130230.560000001"/>
    <n v="1.38"/>
    <n v="25.88"/>
    <n v="6.92"/>
    <n v="129.04"/>
    <n v="46.41"/>
    <x v="2"/>
  </r>
  <r>
    <x v="0"/>
    <x v="1"/>
    <x v="11"/>
    <x v="1"/>
    <n v="8422"/>
    <n v="11292488.050000001"/>
    <n v="6"/>
    <n v="55.76"/>
    <n v="30.55"/>
    <n v="170.31"/>
    <n v="78.44"/>
    <x v="1"/>
  </r>
  <r>
    <x v="0"/>
    <x v="2"/>
    <x v="4"/>
    <x v="0"/>
    <n v="20683"/>
    <n v="15828498.960000001"/>
    <n v="0.34"/>
    <n v="30.32"/>
    <n v="-0.65"/>
    <n v="239.67"/>
    <n v="46.13"/>
    <x v="4"/>
  </r>
  <r>
    <x v="0"/>
    <x v="0"/>
    <x v="2"/>
    <x v="0"/>
    <n v="16573"/>
    <n v="25608331.510000002"/>
    <n v="-0.03"/>
    <n v="47.02"/>
    <n v="3.78"/>
    <n v="77.25"/>
    <n v="84.66"/>
    <x v="2"/>
  </r>
  <r>
    <x v="0"/>
    <x v="1"/>
    <x v="10"/>
    <x v="1"/>
    <n v="24185"/>
    <n v="52192972.549999997"/>
    <n v="2.95"/>
    <n v="40.549999999999997"/>
    <n v="46.73"/>
    <n v="200.47"/>
    <n v="83.06"/>
    <x v="2"/>
  </r>
  <r>
    <x v="0"/>
    <x v="1"/>
    <x v="13"/>
    <x v="1"/>
    <n v="36613"/>
    <n v="63070767.789999999"/>
    <n v="3.25"/>
    <n v="83.96"/>
    <n v="13.22"/>
    <n v="280.73"/>
    <n v="75.510000000000005"/>
    <x v="3"/>
  </r>
  <r>
    <x v="0"/>
    <x v="0"/>
    <x v="10"/>
    <x v="1"/>
    <n v="36255"/>
    <n v="12091673.939999999"/>
    <n v="4.66"/>
    <n v="56.5"/>
    <n v="9.77"/>
    <n v="81.430000000000007"/>
    <n v="85.88"/>
    <x v="2"/>
  </r>
  <r>
    <x v="0"/>
    <x v="0"/>
    <x v="9"/>
    <x v="1"/>
    <n v="38119"/>
    <n v="49899540.799999997"/>
    <n v="6.84"/>
    <n v="51.21"/>
    <n v="38.33"/>
    <n v="284.33"/>
    <n v="87.01"/>
    <x v="1"/>
  </r>
  <r>
    <x v="0"/>
    <x v="0"/>
    <x v="10"/>
    <x v="1"/>
    <n v="36255"/>
    <n v="12091673.939999999"/>
    <n v="4.66"/>
    <n v="56.5"/>
    <n v="9.77"/>
    <n v="81.430000000000007"/>
    <n v="85.88"/>
    <x v="2"/>
  </r>
  <r>
    <x v="0"/>
    <x v="3"/>
    <x v="0"/>
    <x v="0"/>
    <n v="30040"/>
    <n v="34166065.189999998"/>
    <n v="1.5699999999999901"/>
    <n v="28.49"/>
    <n v="47.01"/>
    <n v="243.47"/>
    <n v="58.24"/>
    <x v="3"/>
  </r>
  <r>
    <x v="0"/>
    <x v="1"/>
    <x v="1"/>
    <x v="0"/>
    <n v="38253"/>
    <n v="53195937.002999999"/>
    <n v="-0.05"/>
    <n v="76.73"/>
    <n v="31.96"/>
    <n v="273.85000000000002"/>
    <n v="38.28"/>
    <x v="2"/>
  </r>
  <r>
    <x v="0"/>
    <x v="0"/>
    <x v="12"/>
    <x v="1"/>
    <n v="12612"/>
    <n v="57161551.82"/>
    <n v="3.24"/>
    <n v="64.479999999999905"/>
    <n v="14.98"/>
    <n v="161.49"/>
    <n v="85.67"/>
    <x v="2"/>
  </r>
  <r>
    <x v="0"/>
    <x v="2"/>
    <x v="14"/>
    <x v="1"/>
    <n v="48617"/>
    <n v="6134803.4639999997"/>
    <n v="6.48"/>
    <n v="91.79"/>
    <n v="54.94"/>
    <n v="88.28"/>
    <n v="82.55"/>
    <x v="1"/>
  </r>
  <r>
    <x v="0"/>
    <x v="3"/>
    <x v="6"/>
    <x v="1"/>
    <n v="53367"/>
    <n v="69827344.420000002"/>
    <n v="6.1"/>
    <n v="95.93"/>
    <n v="47.57"/>
    <n v="185.7"/>
    <n v="93.45"/>
    <x v="3"/>
  </r>
  <r>
    <x v="0"/>
    <x v="2"/>
    <x v="7"/>
    <x v="1"/>
    <n v="6542"/>
    <n v="13222480.68"/>
    <n v="3.5"/>
    <n v="88.84"/>
    <n v="26.74"/>
    <n v="115.63"/>
    <n v="54.75"/>
    <x v="0"/>
  </r>
  <r>
    <x v="0"/>
    <x v="0"/>
    <x v="10"/>
    <x v="1"/>
    <n v="36255"/>
    <n v="12091673.939999999"/>
    <n v="4.66"/>
    <n v="56.5"/>
    <n v="9.77"/>
    <n v="81.430000000000007"/>
    <n v="85.88"/>
    <x v="2"/>
  </r>
  <r>
    <x v="0"/>
    <x v="3"/>
    <x v="9"/>
    <x v="1"/>
    <n v="34541"/>
    <n v="23308775.82"/>
    <n v="4.0299999999999896"/>
    <n v="59.35"/>
    <n v="8.3699999999999992"/>
    <n v="138.66999999999999"/>
    <n v="80.349999999999994"/>
    <x v="1"/>
  </r>
  <r>
    <x v="0"/>
    <x v="3"/>
    <x v="10"/>
    <x v="1"/>
    <n v="6719"/>
    <n v="38311286.359999999"/>
    <n v="5.38"/>
    <n v="42.55"/>
    <n v="50.32"/>
    <n v="110.97"/>
    <n v="87.8"/>
    <x v="0"/>
  </r>
  <r>
    <x v="1"/>
    <x v="0"/>
    <x v="0"/>
    <x v="0"/>
    <n v="17825"/>
    <n v="37347187.770000003"/>
    <n v="0.159999999999999"/>
    <n v="62.97"/>
    <n v="26.44"/>
    <n v="245.48"/>
    <n v="75.23"/>
    <x v="4"/>
  </r>
  <r>
    <x v="1"/>
    <x v="0"/>
    <x v="1"/>
    <x v="0"/>
    <n v="21472"/>
    <n v="34965645.310000002"/>
    <n v="0.25"/>
    <n v="49.22"/>
    <n v="24.99"/>
    <n v="247.01"/>
    <n v="80.17"/>
    <x v="1"/>
  </r>
  <r>
    <x v="1"/>
    <x v="0"/>
    <x v="2"/>
    <x v="0"/>
    <n v="35641"/>
    <n v="48775290.390000001"/>
    <n v="3.88"/>
    <n v="60.51"/>
    <n v="6.1"/>
    <n v="196.59"/>
    <n v="78.94"/>
    <x v="3"/>
  </r>
  <r>
    <x v="1"/>
    <x v="0"/>
    <x v="3"/>
    <x v="0"/>
    <n v="18960"/>
    <n v="25972084.140000001"/>
    <n v="0.53"/>
    <n v="72.69"/>
    <n v="26.51"/>
    <n v="157.1"/>
    <n v="53.68"/>
    <x v="1"/>
  </r>
  <r>
    <x v="1"/>
    <x v="0"/>
    <x v="4"/>
    <x v="0"/>
    <n v="18546"/>
    <n v="42315159.990000002"/>
    <n v="1.81"/>
    <n v="58.09"/>
    <n v="33.08"/>
    <n v="110.9"/>
    <n v="49.63"/>
    <x v="1"/>
  </r>
  <r>
    <x v="1"/>
    <x v="0"/>
    <x v="5"/>
    <x v="1"/>
    <n v="42883"/>
    <n v="18588730.370000001"/>
    <n v="6.37"/>
    <n v="72.87"/>
    <n v="45.86"/>
    <n v="273.58999999999997"/>
    <n v="52.9"/>
    <x v="0"/>
  </r>
  <r>
    <x v="1"/>
    <x v="0"/>
    <x v="6"/>
    <x v="1"/>
    <n v="49662"/>
    <n v="52134225.079999998"/>
    <n v="2.9"/>
    <n v="96.42"/>
    <n v="52.2"/>
    <n v="187.23"/>
    <n v="76.5"/>
    <x v="2"/>
  </r>
  <r>
    <x v="1"/>
    <x v="0"/>
    <x v="7"/>
    <x v="1"/>
    <n v="48484"/>
    <n v="10752134.16"/>
    <n v="3.75"/>
    <n v="41.49"/>
    <n v="10.67"/>
    <n v="87.88"/>
    <n v="79.09"/>
    <x v="2"/>
  </r>
  <r>
    <x v="1"/>
    <x v="0"/>
    <x v="8"/>
    <x v="1"/>
    <n v="11438"/>
    <n v="56002244.289999999"/>
    <n v="6.33"/>
    <n v="93.95"/>
    <n v="52.02"/>
    <n v="168.24"/>
    <n v="63.04"/>
    <x v="0"/>
  </r>
  <r>
    <x v="1"/>
    <x v="0"/>
    <x v="9"/>
    <x v="1"/>
    <n v="58199"/>
    <n v="35481161.409999996"/>
    <n v="5.66"/>
    <n v="42.96"/>
    <n v="27.95"/>
    <n v="151.66"/>
    <n v="52.29"/>
    <x v="1"/>
  </r>
  <r>
    <x v="1"/>
    <x v="0"/>
    <x v="10"/>
    <x v="1"/>
    <n v="40807"/>
    <n v="28409469.32"/>
    <n v="3.04"/>
    <n v="47.56"/>
    <n v="33.590000000000003"/>
    <n v="95.38"/>
    <n v="57.91"/>
    <x v="1"/>
  </r>
  <r>
    <x v="1"/>
    <x v="0"/>
    <x v="11"/>
    <x v="1"/>
    <n v="27476"/>
    <n v="29188076.98"/>
    <n v="4.96"/>
    <n v="54.96"/>
    <n v="34.619999999999997"/>
    <n v="228.07"/>
    <n v="69.239999999999995"/>
    <x v="3"/>
  </r>
  <r>
    <x v="1"/>
    <x v="0"/>
    <x v="12"/>
    <x v="1"/>
    <n v="25491"/>
    <n v="13470114.800000001"/>
    <n v="6.6"/>
    <n v="70"/>
    <n v="41.55"/>
    <n v="54.56"/>
    <n v="66.45"/>
    <x v="2"/>
  </r>
  <r>
    <x v="1"/>
    <x v="0"/>
    <x v="13"/>
    <x v="1"/>
    <n v="57319"/>
    <n v="64038833.049999997"/>
    <n v="5.25"/>
    <n v="98.77"/>
    <n v="44.44"/>
    <n v="187.76"/>
    <n v="51.45"/>
    <x v="3"/>
  </r>
  <r>
    <x v="1"/>
    <x v="0"/>
    <x v="14"/>
    <x v="1"/>
    <n v="53118"/>
    <n v="71564619.920000002"/>
    <n v="4.21"/>
    <n v="103.57"/>
    <n v="52.17"/>
    <n v="120.41"/>
    <n v="76.81"/>
    <x v="3"/>
  </r>
  <r>
    <x v="1"/>
    <x v="1"/>
    <x v="0"/>
    <x v="0"/>
    <n v="21197"/>
    <n v="22480526.16"/>
    <n v="1.84"/>
    <n v="39.26"/>
    <n v="10.62"/>
    <n v="193.23"/>
    <n v="38.5"/>
    <x v="1"/>
  </r>
  <r>
    <x v="1"/>
    <x v="1"/>
    <x v="1"/>
    <x v="0"/>
    <n v="8785"/>
    <n v="16339172.24"/>
    <n v="-0.36"/>
    <n v="50.5"/>
    <n v="16.16"/>
    <n v="96.06"/>
    <n v="70.489999999999995"/>
    <x v="4"/>
  </r>
  <r>
    <x v="1"/>
    <x v="1"/>
    <x v="2"/>
    <x v="0"/>
    <n v="43775"/>
    <n v="10852645.859999999"/>
    <n v="2.71"/>
    <n v="42.03"/>
    <n v="29.43"/>
    <n v="282.82"/>
    <n v="64.08"/>
    <x v="4"/>
  </r>
  <r>
    <x v="1"/>
    <x v="1"/>
    <x v="3"/>
    <x v="0"/>
    <n v="29178"/>
    <n v="41803911.049999997"/>
    <n v="2.59"/>
    <n v="47.84"/>
    <n v="16.52"/>
    <n v="134.32"/>
    <n v="74.930000000000007"/>
    <x v="1"/>
  </r>
  <r>
    <x v="1"/>
    <x v="1"/>
    <x v="4"/>
    <x v="0"/>
    <n v="8601"/>
    <n v="32922566.239999998"/>
    <n v="2.99"/>
    <n v="82.16"/>
    <n v="47.56"/>
    <n v="139.41999999999999"/>
    <n v="52.96"/>
    <x v="0"/>
  </r>
  <r>
    <x v="1"/>
    <x v="1"/>
    <x v="5"/>
    <x v="1"/>
    <n v="51214"/>
    <n v="22604101.449999999"/>
    <n v="3.88"/>
    <n v="98.74"/>
    <n v="29.87"/>
    <n v="153.44999999999999"/>
    <n v="54.94"/>
    <x v="3"/>
  </r>
  <r>
    <x v="1"/>
    <x v="1"/>
    <x v="6"/>
    <x v="1"/>
    <n v="58086"/>
    <n v="50254952.18"/>
    <n v="6.19"/>
    <n v="46.93"/>
    <n v="40.93"/>
    <n v="130.68"/>
    <n v="54.46"/>
    <x v="4"/>
  </r>
  <r>
    <x v="1"/>
    <x v="1"/>
    <x v="7"/>
    <x v="1"/>
    <n v="63974"/>
    <n v="66783552.340000004"/>
    <n v="4.99"/>
    <n v="43.38"/>
    <n v="39.44"/>
    <n v="264.14999999999998"/>
    <n v="79.22"/>
    <x v="2"/>
  </r>
  <r>
    <x v="1"/>
    <x v="1"/>
    <x v="8"/>
    <x v="1"/>
    <n v="47829"/>
    <n v="6077295.0480000004"/>
    <n v="3.59"/>
    <n v="88.79"/>
    <n v="32.57"/>
    <n v="175.9"/>
    <n v="45.25"/>
    <x v="3"/>
  </r>
  <r>
    <x v="1"/>
    <x v="1"/>
    <x v="9"/>
    <x v="1"/>
    <n v="41163"/>
    <n v="19005446.109999999"/>
    <n v="4.79"/>
    <n v="51.77"/>
    <n v="44.26"/>
    <n v="210.86"/>
    <n v="88.02"/>
    <x v="4"/>
  </r>
  <r>
    <x v="1"/>
    <x v="1"/>
    <x v="10"/>
    <x v="1"/>
    <n v="27381"/>
    <n v="65294982.829999998"/>
    <n v="2.65"/>
    <n v="62.02"/>
    <n v="25.37"/>
    <n v="130.24"/>
    <n v="86.46"/>
    <x v="3"/>
  </r>
  <r>
    <x v="1"/>
    <x v="1"/>
    <x v="11"/>
    <x v="1"/>
    <n v="61462"/>
    <n v="55137531.491999902"/>
    <n v="5.7799999999999896"/>
    <n v="89.44"/>
    <n v="51.04"/>
    <n v="280.82"/>
    <n v="85.04"/>
    <x v="1"/>
  </r>
  <r>
    <x v="1"/>
    <x v="1"/>
    <x v="12"/>
    <x v="1"/>
    <n v="10455"/>
    <n v="27982805.100000001"/>
    <n v="6.83"/>
    <n v="69.099999999999994"/>
    <n v="10.39"/>
    <n v="105.02"/>
    <n v="75.930000000000007"/>
    <x v="1"/>
  </r>
  <r>
    <x v="1"/>
    <x v="1"/>
    <x v="13"/>
    <x v="1"/>
    <n v="53896"/>
    <n v="47982928.727999903"/>
    <n v="3.17"/>
    <n v="75.16"/>
    <n v="22.74"/>
    <n v="92.93"/>
    <n v="86.89"/>
    <x v="1"/>
  </r>
  <r>
    <x v="1"/>
    <x v="1"/>
    <x v="14"/>
    <x v="1"/>
    <n v="47830"/>
    <n v="79207664.340000004"/>
    <n v="3.46"/>
    <n v="58.97"/>
    <n v="52.43"/>
    <n v="236.28"/>
    <n v="50.08"/>
    <x v="0"/>
  </r>
  <r>
    <x v="1"/>
    <x v="2"/>
    <x v="0"/>
    <x v="0"/>
    <n v="27328"/>
    <n v="31739575.949999999"/>
    <n v="-0.42"/>
    <n v="68.61"/>
    <n v="19.37"/>
    <n v="57.25"/>
    <n v="41.31"/>
    <x v="2"/>
  </r>
  <r>
    <x v="1"/>
    <x v="2"/>
    <x v="1"/>
    <x v="0"/>
    <n v="38772"/>
    <n v="27841226.879999999"/>
    <n v="3.48"/>
    <n v="60.92"/>
    <n v="27.62"/>
    <n v="136.07"/>
    <n v="84.47"/>
    <x v="4"/>
  </r>
  <r>
    <x v="1"/>
    <x v="2"/>
    <x v="2"/>
    <x v="0"/>
    <n v="7511"/>
    <n v="31385211.280000001"/>
    <n v="1.48"/>
    <n v="60"/>
    <n v="1.68"/>
    <n v="52.52"/>
    <n v="85.45"/>
    <x v="3"/>
  </r>
  <r>
    <x v="1"/>
    <x v="2"/>
    <x v="3"/>
    <x v="0"/>
    <n v="16212"/>
    <n v="59842662.149999999"/>
    <n v="0.36"/>
    <n v="81.98"/>
    <n v="6.72"/>
    <n v="59.98"/>
    <n v="45.43"/>
    <x v="2"/>
  </r>
  <r>
    <x v="1"/>
    <x v="2"/>
    <x v="4"/>
    <x v="0"/>
    <n v="44767"/>
    <n v="6397386.2189999996"/>
    <n v="2.66"/>
    <n v="65.67"/>
    <n v="24.92"/>
    <n v="94.9"/>
    <n v="53.63"/>
    <x v="2"/>
  </r>
  <r>
    <x v="1"/>
    <x v="2"/>
    <x v="5"/>
    <x v="1"/>
    <n v="29628"/>
    <n v="50812407.275999904"/>
    <n v="5.1099999999999897"/>
    <n v="88.32"/>
    <n v="13.49"/>
    <n v="66.69"/>
    <n v="63.04"/>
    <x v="0"/>
  </r>
  <r>
    <x v="1"/>
    <x v="2"/>
    <x v="6"/>
    <x v="1"/>
    <n v="63137"/>
    <n v="23567297.829999998"/>
    <n v="4.79"/>
    <n v="66.150000000000006"/>
    <n v="49.64"/>
    <n v="94.47"/>
    <n v="82.6"/>
    <x v="3"/>
  </r>
  <r>
    <x v="1"/>
    <x v="2"/>
    <x v="7"/>
    <x v="1"/>
    <n v="56115"/>
    <n v="16158944.449999999"/>
    <n v="6.22"/>
    <n v="91.44"/>
    <n v="29.96"/>
    <n v="193.54"/>
    <n v="89.31"/>
    <x v="4"/>
  </r>
  <r>
    <x v="1"/>
    <x v="2"/>
    <x v="8"/>
    <x v="1"/>
    <n v="33872"/>
    <n v="60050676.799999997"/>
    <n v="2.94"/>
    <n v="88.63"/>
    <n v="27.11"/>
    <n v="186.09"/>
    <n v="61.17"/>
    <x v="2"/>
  </r>
  <r>
    <x v="1"/>
    <x v="2"/>
    <x v="9"/>
    <x v="1"/>
    <n v="56598"/>
    <n v="9650777.5319999997"/>
    <n v="6.61"/>
    <n v="77.650000000000006"/>
    <n v="26.15"/>
    <n v="69.040000000000006"/>
    <n v="88.7"/>
    <x v="1"/>
  </r>
  <r>
    <x v="1"/>
    <x v="2"/>
    <x v="10"/>
    <x v="1"/>
    <n v="8082"/>
    <n v="53518254.119999997"/>
    <n v="3.35"/>
    <n v="102.49"/>
    <n v="49.53"/>
    <n v="289.41000000000003"/>
    <n v="93.02"/>
    <x v="4"/>
  </r>
  <r>
    <x v="1"/>
    <x v="2"/>
    <x v="11"/>
    <x v="1"/>
    <n v="53108"/>
    <n v="8982957.7799999993"/>
    <n v="6.02"/>
    <n v="47.8"/>
    <n v="32.450000000000003"/>
    <n v="100.39"/>
    <n v="59.44"/>
    <x v="1"/>
  </r>
  <r>
    <x v="1"/>
    <x v="2"/>
    <x v="12"/>
    <x v="1"/>
    <n v="42820"/>
    <n v="5518854.45599999"/>
    <n v="6.58"/>
    <n v="41.01"/>
    <n v="18.12"/>
    <n v="169.67"/>
    <n v="79.56"/>
    <x v="4"/>
  </r>
  <r>
    <x v="1"/>
    <x v="2"/>
    <x v="13"/>
    <x v="1"/>
    <n v="55164"/>
    <n v="9027240.9240000006"/>
    <n v="4.7699999999999996"/>
    <n v="48.66"/>
    <n v="29.6"/>
    <n v="94.48"/>
    <n v="55.85"/>
    <x v="4"/>
  </r>
  <r>
    <x v="1"/>
    <x v="2"/>
    <x v="14"/>
    <x v="1"/>
    <n v="12993"/>
    <n v="7444019.2560000001"/>
    <n v="3.67"/>
    <n v="53.23"/>
    <n v="49.96"/>
    <n v="236.45"/>
    <n v="87.73"/>
    <x v="3"/>
  </r>
  <r>
    <x v="1"/>
    <x v="3"/>
    <x v="0"/>
    <x v="0"/>
    <n v="49522"/>
    <n v="13749933.390000001"/>
    <n v="0.73"/>
    <n v="68.38"/>
    <n v="46.89"/>
    <n v="221.54"/>
    <n v="67.28"/>
    <x v="3"/>
  </r>
  <r>
    <x v="1"/>
    <x v="3"/>
    <x v="1"/>
    <x v="0"/>
    <n v="35672"/>
    <n v="43822054.960000001"/>
    <n v="0.84"/>
    <n v="44.22"/>
    <n v="46.9"/>
    <n v="285.05"/>
    <n v="50.09"/>
    <x v="0"/>
  </r>
  <r>
    <x v="1"/>
    <x v="3"/>
    <x v="2"/>
    <x v="0"/>
    <n v="23896"/>
    <n v="18747121.280000001"/>
    <n v="-0.49"/>
    <n v="32.090000000000003"/>
    <n v="10.83"/>
    <n v="225.49"/>
    <n v="56.78"/>
    <x v="2"/>
  </r>
  <r>
    <x v="1"/>
    <x v="3"/>
    <x v="3"/>
    <x v="0"/>
    <n v="7473"/>
    <n v="19621770.609999999"/>
    <n v="3.88"/>
    <n v="74.66"/>
    <n v="27.55"/>
    <n v="177.22"/>
    <n v="72.36"/>
    <x v="3"/>
  </r>
  <r>
    <x v="1"/>
    <x v="3"/>
    <x v="4"/>
    <x v="0"/>
    <n v="11913"/>
    <n v="41627181.200000003"/>
    <n v="-0.35"/>
    <n v="64.459999999999994"/>
    <n v="0.83999999999999897"/>
    <n v="155.16"/>
    <n v="44.89"/>
    <x v="1"/>
  </r>
  <r>
    <x v="1"/>
    <x v="3"/>
    <x v="5"/>
    <x v="1"/>
    <n v="39692"/>
    <n v="34859771.57"/>
    <n v="6.62"/>
    <n v="87.81"/>
    <n v="39.64"/>
    <n v="189.6"/>
    <n v="62.18"/>
    <x v="0"/>
  </r>
  <r>
    <x v="1"/>
    <x v="3"/>
    <x v="6"/>
    <x v="1"/>
    <n v="48805"/>
    <n v="32349455.399999999"/>
    <n v="4.42"/>
    <n v="99.33"/>
    <n v="33.79"/>
    <n v="96.26"/>
    <n v="57.17"/>
    <x v="3"/>
  </r>
  <r>
    <x v="1"/>
    <x v="3"/>
    <x v="7"/>
    <x v="1"/>
    <n v="8115"/>
    <n v="44826833.530000001"/>
    <n v="4.6500000000000004"/>
    <n v="62.42"/>
    <n v="41.52"/>
    <n v="295.85000000000002"/>
    <n v="48.71"/>
    <x v="0"/>
  </r>
  <r>
    <x v="1"/>
    <x v="3"/>
    <x v="8"/>
    <x v="1"/>
    <n v="52951"/>
    <n v="13524137.65"/>
    <n v="2.83"/>
    <n v="73.069999999999993"/>
    <n v="27.79"/>
    <n v="52.85"/>
    <n v="70.84"/>
    <x v="4"/>
  </r>
  <r>
    <x v="1"/>
    <x v="3"/>
    <x v="9"/>
    <x v="1"/>
    <n v="40353"/>
    <n v="16476389.24"/>
    <n v="3.06"/>
    <n v="46.41"/>
    <n v="21.11"/>
    <n v="194.98"/>
    <n v="54.61"/>
    <x v="2"/>
  </r>
  <r>
    <x v="1"/>
    <x v="3"/>
    <x v="10"/>
    <x v="1"/>
    <n v="26015"/>
    <n v="13548942.4439999"/>
    <n v="5.19"/>
    <n v="92.87"/>
    <n v="45.67"/>
    <n v="248.52"/>
    <n v="85.87"/>
    <x v="3"/>
  </r>
  <r>
    <x v="1"/>
    <x v="3"/>
    <x v="11"/>
    <x v="1"/>
    <n v="11163"/>
    <n v="12032304.635999899"/>
    <n v="3.84"/>
    <n v="40.71"/>
    <n v="45.09"/>
    <n v="122.22"/>
    <n v="83.63"/>
    <x v="3"/>
  </r>
  <r>
    <x v="1"/>
    <x v="3"/>
    <x v="12"/>
    <x v="1"/>
    <n v="36975"/>
    <n v="33358884.739999998"/>
    <n v="5.3599999999999897"/>
    <n v="74.28"/>
    <n v="33.57"/>
    <n v="72.540000000000006"/>
    <n v="57.77"/>
    <x v="3"/>
  </r>
  <r>
    <x v="1"/>
    <x v="3"/>
    <x v="13"/>
    <x v="1"/>
    <n v="28163"/>
    <n v="76740547.760000005"/>
    <n v="6.5"/>
    <n v="49.19"/>
    <n v="23.05"/>
    <n v="154.41999999999999"/>
    <n v="78.77"/>
    <x v="1"/>
  </r>
  <r>
    <x v="1"/>
    <x v="3"/>
    <x v="14"/>
    <x v="1"/>
    <n v="49246"/>
    <n v="5030391.84"/>
    <n v="6.07"/>
    <n v="51.07"/>
    <n v="47.75"/>
    <n v="137.41999999999999"/>
    <n v="71.5"/>
    <x v="2"/>
  </r>
  <r>
    <x v="1"/>
    <x v="0"/>
    <x v="0"/>
    <x v="0"/>
    <n v="17825"/>
    <n v="37347187.770000003"/>
    <n v="0.159999999999999"/>
    <n v="62.97"/>
    <n v="26.44"/>
    <n v="245.48"/>
    <n v="75.23"/>
    <x v="4"/>
  </r>
  <r>
    <x v="1"/>
    <x v="0"/>
    <x v="1"/>
    <x v="0"/>
    <n v="21472"/>
    <n v="34965645.310000002"/>
    <n v="0.25"/>
    <n v="49.22"/>
    <n v="24.99"/>
    <n v="247.01"/>
    <n v="80.17"/>
    <x v="1"/>
  </r>
  <r>
    <x v="1"/>
    <x v="0"/>
    <x v="2"/>
    <x v="0"/>
    <n v="35641"/>
    <n v="48775290.390000001"/>
    <n v="3.88"/>
    <n v="60.51"/>
    <n v="6.1"/>
    <n v="196.59"/>
    <n v="78.94"/>
    <x v="3"/>
  </r>
  <r>
    <x v="1"/>
    <x v="0"/>
    <x v="3"/>
    <x v="0"/>
    <n v="18960"/>
    <n v="25972084.140000001"/>
    <n v="0.53"/>
    <n v="72.69"/>
    <n v="26.51"/>
    <n v="157.1"/>
    <n v="53.68"/>
    <x v="1"/>
  </r>
  <r>
    <x v="1"/>
    <x v="0"/>
    <x v="4"/>
    <x v="0"/>
    <n v="18546"/>
    <n v="42315159.990000002"/>
    <n v="1.81"/>
    <n v="58.09"/>
    <n v="33.08"/>
    <n v="110.9"/>
    <n v="49.63"/>
    <x v="1"/>
  </r>
  <r>
    <x v="1"/>
    <x v="0"/>
    <x v="5"/>
    <x v="1"/>
    <n v="42883"/>
    <n v="18588730.370000001"/>
    <n v="6.37"/>
    <n v="72.87"/>
    <n v="45.86"/>
    <n v="273.58999999999997"/>
    <n v="52.9"/>
    <x v="0"/>
  </r>
  <r>
    <x v="1"/>
    <x v="0"/>
    <x v="6"/>
    <x v="1"/>
    <n v="49662"/>
    <n v="52134225.079999998"/>
    <n v="2.9"/>
    <n v="96.42"/>
    <n v="52.2"/>
    <n v="187.23"/>
    <n v="76.5"/>
    <x v="2"/>
  </r>
  <r>
    <x v="1"/>
    <x v="0"/>
    <x v="7"/>
    <x v="1"/>
    <n v="48484"/>
    <n v="10752134.16"/>
    <n v="3.75"/>
    <n v="41.49"/>
    <n v="10.67"/>
    <n v="87.88"/>
    <n v="79.09"/>
    <x v="2"/>
  </r>
  <r>
    <x v="1"/>
    <x v="0"/>
    <x v="8"/>
    <x v="1"/>
    <n v="11438"/>
    <n v="56002244.289999999"/>
    <n v="6.33"/>
    <n v="93.95"/>
    <n v="52.02"/>
    <n v="168.24"/>
    <n v="63.04"/>
    <x v="0"/>
  </r>
  <r>
    <x v="1"/>
    <x v="0"/>
    <x v="9"/>
    <x v="1"/>
    <n v="58199"/>
    <n v="35481161.409999996"/>
    <n v="5.66"/>
    <n v="42.96"/>
    <n v="27.95"/>
    <n v="151.66"/>
    <n v="52.29"/>
    <x v="1"/>
  </r>
  <r>
    <x v="1"/>
    <x v="0"/>
    <x v="10"/>
    <x v="1"/>
    <n v="40807"/>
    <n v="28409469.32"/>
    <n v="3.04"/>
    <n v="47.56"/>
    <n v="33.590000000000003"/>
    <n v="95.38"/>
    <n v="57.91"/>
    <x v="1"/>
  </r>
  <r>
    <x v="1"/>
    <x v="0"/>
    <x v="11"/>
    <x v="1"/>
    <n v="27476"/>
    <n v="29188076.98"/>
    <n v="4.96"/>
    <n v="54.96"/>
    <n v="34.619999999999997"/>
    <n v="228.07"/>
    <n v="69.239999999999995"/>
    <x v="3"/>
  </r>
  <r>
    <x v="1"/>
    <x v="0"/>
    <x v="12"/>
    <x v="1"/>
    <n v="25491"/>
    <n v="13470114.800000001"/>
    <n v="6.6"/>
    <n v="70"/>
    <n v="41.55"/>
    <n v="54.56"/>
    <n v="66.45"/>
    <x v="2"/>
  </r>
  <r>
    <x v="1"/>
    <x v="0"/>
    <x v="13"/>
    <x v="1"/>
    <n v="57319"/>
    <n v="64038833.049999997"/>
    <n v="5.25"/>
    <n v="98.77"/>
    <n v="44.44"/>
    <n v="187.76"/>
    <n v="51.45"/>
    <x v="3"/>
  </r>
  <r>
    <x v="1"/>
    <x v="0"/>
    <x v="14"/>
    <x v="1"/>
    <n v="53118"/>
    <n v="71564619.920000002"/>
    <n v="4.21"/>
    <n v="103.57"/>
    <n v="52.17"/>
    <n v="120.41"/>
    <n v="76.81"/>
    <x v="3"/>
  </r>
  <r>
    <x v="1"/>
    <x v="1"/>
    <x v="0"/>
    <x v="0"/>
    <n v="21197"/>
    <n v="22480526.16"/>
    <n v="1.84"/>
    <n v="39.26"/>
    <n v="10.62"/>
    <n v="193.23"/>
    <n v="38.5"/>
    <x v="1"/>
  </r>
  <r>
    <x v="1"/>
    <x v="1"/>
    <x v="1"/>
    <x v="0"/>
    <n v="8785"/>
    <n v="16339172.24"/>
    <n v="-0.36"/>
    <n v="50.5"/>
    <n v="16.16"/>
    <n v="96.06"/>
    <n v="70.489999999999995"/>
    <x v="4"/>
  </r>
  <r>
    <x v="1"/>
    <x v="1"/>
    <x v="2"/>
    <x v="0"/>
    <n v="43775"/>
    <n v="10852645.859999999"/>
    <n v="2.71"/>
    <n v="42.03"/>
    <n v="29.43"/>
    <n v="282.82"/>
    <n v="64.08"/>
    <x v="4"/>
  </r>
  <r>
    <x v="1"/>
    <x v="1"/>
    <x v="3"/>
    <x v="0"/>
    <n v="29178"/>
    <n v="41803911.049999997"/>
    <n v="2.59"/>
    <n v="47.84"/>
    <n v="16.52"/>
    <n v="134.32"/>
    <n v="74.930000000000007"/>
    <x v="1"/>
  </r>
  <r>
    <x v="1"/>
    <x v="1"/>
    <x v="4"/>
    <x v="0"/>
    <n v="8601"/>
    <n v="32922566.239999998"/>
    <n v="2.99"/>
    <n v="82.16"/>
    <n v="47.56"/>
    <n v="139.41999999999999"/>
    <n v="52.96"/>
    <x v="0"/>
  </r>
  <r>
    <x v="1"/>
    <x v="1"/>
    <x v="5"/>
    <x v="1"/>
    <n v="51214"/>
    <n v="22604101.449999999"/>
    <n v="3.88"/>
    <n v="98.74"/>
    <n v="29.87"/>
    <n v="153.44999999999999"/>
    <n v="54.94"/>
    <x v="3"/>
  </r>
  <r>
    <x v="1"/>
    <x v="1"/>
    <x v="6"/>
    <x v="1"/>
    <n v="58086"/>
    <n v="50254952.18"/>
    <n v="6.19"/>
    <n v="46.93"/>
    <n v="40.93"/>
    <n v="130.68"/>
    <n v="54.46"/>
    <x v="4"/>
  </r>
  <r>
    <x v="1"/>
    <x v="1"/>
    <x v="7"/>
    <x v="1"/>
    <n v="63974"/>
    <n v="66783552.340000004"/>
    <n v="4.99"/>
    <n v="43.38"/>
    <n v="39.44"/>
    <n v="264.14999999999998"/>
    <n v="79.22"/>
    <x v="2"/>
  </r>
  <r>
    <x v="1"/>
    <x v="1"/>
    <x v="8"/>
    <x v="1"/>
    <n v="47829"/>
    <n v="6077295.0480000004"/>
    <n v="3.59"/>
    <n v="88.79"/>
    <n v="32.57"/>
    <n v="175.9"/>
    <n v="45.25"/>
    <x v="3"/>
  </r>
  <r>
    <x v="1"/>
    <x v="1"/>
    <x v="9"/>
    <x v="1"/>
    <n v="41163"/>
    <n v="19005446.109999999"/>
    <n v="4.79"/>
    <n v="51.77"/>
    <n v="44.26"/>
    <n v="210.86"/>
    <n v="88.02"/>
    <x v="4"/>
  </r>
  <r>
    <x v="1"/>
    <x v="1"/>
    <x v="10"/>
    <x v="1"/>
    <n v="27381"/>
    <n v="65294982.829999998"/>
    <n v="2.65"/>
    <n v="62.02"/>
    <n v="25.37"/>
    <n v="130.24"/>
    <n v="86.46"/>
    <x v="3"/>
  </r>
  <r>
    <x v="1"/>
    <x v="1"/>
    <x v="11"/>
    <x v="1"/>
    <n v="61462"/>
    <n v="55137531.491999902"/>
    <n v="5.7799999999999896"/>
    <n v="89.44"/>
    <n v="51.04"/>
    <n v="280.82"/>
    <n v="85.04"/>
    <x v="1"/>
  </r>
  <r>
    <x v="1"/>
    <x v="1"/>
    <x v="12"/>
    <x v="1"/>
    <n v="10455"/>
    <n v="27982805.100000001"/>
    <n v="6.83"/>
    <n v="69.099999999999994"/>
    <n v="10.39"/>
    <n v="105.02"/>
    <n v="75.930000000000007"/>
    <x v="1"/>
  </r>
  <r>
    <x v="1"/>
    <x v="1"/>
    <x v="13"/>
    <x v="1"/>
    <n v="53896"/>
    <n v="47982928.727999903"/>
    <n v="3.17"/>
    <n v="75.16"/>
    <n v="22.74"/>
    <n v="92.93"/>
    <n v="86.89"/>
    <x v="1"/>
  </r>
  <r>
    <x v="1"/>
    <x v="1"/>
    <x v="14"/>
    <x v="1"/>
    <n v="47830"/>
    <n v="79207664.340000004"/>
    <n v="3.46"/>
    <n v="58.97"/>
    <n v="52.43"/>
    <n v="236.28"/>
    <n v="50.08"/>
    <x v="0"/>
  </r>
  <r>
    <x v="1"/>
    <x v="2"/>
    <x v="0"/>
    <x v="0"/>
    <n v="27328"/>
    <n v="31739575.949999999"/>
    <n v="-0.42"/>
    <n v="68.61"/>
    <n v="19.37"/>
    <n v="57.25"/>
    <n v="41.31"/>
    <x v="2"/>
  </r>
  <r>
    <x v="1"/>
    <x v="2"/>
    <x v="1"/>
    <x v="0"/>
    <n v="38772"/>
    <n v="27841226.879999999"/>
    <n v="3.48"/>
    <n v="60.92"/>
    <n v="27.62"/>
    <n v="136.07"/>
    <n v="84.47"/>
    <x v="4"/>
  </r>
  <r>
    <x v="1"/>
    <x v="2"/>
    <x v="2"/>
    <x v="0"/>
    <n v="7511"/>
    <n v="31385211.280000001"/>
    <n v="1.48"/>
    <n v="60"/>
    <n v="1.68"/>
    <n v="52.52"/>
    <n v="85.45"/>
    <x v="3"/>
  </r>
  <r>
    <x v="1"/>
    <x v="2"/>
    <x v="3"/>
    <x v="0"/>
    <n v="16212"/>
    <n v="59842662.149999999"/>
    <n v="0.36"/>
    <n v="81.98"/>
    <n v="6.72"/>
    <n v="59.98"/>
    <n v="45.43"/>
    <x v="2"/>
  </r>
  <r>
    <x v="1"/>
    <x v="2"/>
    <x v="4"/>
    <x v="0"/>
    <n v="44767"/>
    <n v="6397386.2189999996"/>
    <n v="2.66"/>
    <n v="65.67"/>
    <n v="24.92"/>
    <n v="94.9"/>
    <n v="53.63"/>
    <x v="2"/>
  </r>
  <r>
    <x v="1"/>
    <x v="2"/>
    <x v="5"/>
    <x v="1"/>
    <n v="29628"/>
    <n v="50812407.275999904"/>
    <n v="5.1099999999999897"/>
    <n v="88.32"/>
    <n v="13.49"/>
    <n v="66.69"/>
    <n v="63.04"/>
    <x v="0"/>
  </r>
  <r>
    <x v="1"/>
    <x v="2"/>
    <x v="6"/>
    <x v="1"/>
    <n v="63137"/>
    <n v="23567297.829999998"/>
    <n v="4.79"/>
    <n v="66.150000000000006"/>
    <n v="49.64"/>
    <n v="94.47"/>
    <n v="82.6"/>
    <x v="3"/>
  </r>
  <r>
    <x v="1"/>
    <x v="2"/>
    <x v="7"/>
    <x v="1"/>
    <n v="56115"/>
    <n v="16158944.449999999"/>
    <n v="6.22"/>
    <n v="91.44"/>
    <n v="29.96"/>
    <n v="193.54"/>
    <n v="89.31"/>
    <x v="4"/>
  </r>
  <r>
    <x v="1"/>
    <x v="2"/>
    <x v="8"/>
    <x v="1"/>
    <n v="33872"/>
    <n v="60050676.799999997"/>
    <n v="2.94"/>
    <n v="88.63"/>
    <n v="27.11"/>
    <n v="186.09"/>
    <n v="61.17"/>
    <x v="2"/>
  </r>
  <r>
    <x v="1"/>
    <x v="2"/>
    <x v="9"/>
    <x v="1"/>
    <n v="56598"/>
    <n v="9650777.5319999997"/>
    <n v="6.61"/>
    <n v="77.650000000000006"/>
    <n v="26.15"/>
    <n v="69.040000000000006"/>
    <n v="88.7"/>
    <x v="1"/>
  </r>
  <r>
    <x v="1"/>
    <x v="2"/>
    <x v="10"/>
    <x v="1"/>
    <n v="8082"/>
    <n v="53518254.119999997"/>
    <n v="3.35"/>
    <n v="102.49"/>
    <n v="49.53"/>
    <n v="289.41000000000003"/>
    <n v="93.02"/>
    <x v="4"/>
  </r>
  <r>
    <x v="1"/>
    <x v="2"/>
    <x v="11"/>
    <x v="1"/>
    <n v="53108"/>
    <n v="8982957.7799999993"/>
    <n v="6.02"/>
    <n v="47.8"/>
    <n v="32.450000000000003"/>
    <n v="100.39"/>
    <n v="59.44"/>
    <x v="1"/>
  </r>
  <r>
    <x v="1"/>
    <x v="2"/>
    <x v="12"/>
    <x v="1"/>
    <n v="42820"/>
    <n v="5518854.45599999"/>
    <n v="6.58"/>
    <n v="41.01"/>
    <n v="18.12"/>
    <n v="169.67"/>
    <n v="79.56"/>
    <x v="4"/>
  </r>
  <r>
    <x v="1"/>
    <x v="2"/>
    <x v="13"/>
    <x v="1"/>
    <n v="55164"/>
    <n v="9027240.9240000006"/>
    <n v="4.7699999999999996"/>
    <n v="48.66"/>
    <n v="29.6"/>
    <n v="94.48"/>
    <n v="55.85"/>
    <x v="4"/>
  </r>
  <r>
    <x v="1"/>
    <x v="2"/>
    <x v="14"/>
    <x v="1"/>
    <n v="12993"/>
    <n v="7444019.2560000001"/>
    <n v="3.67"/>
    <n v="53.23"/>
    <n v="49.96"/>
    <n v="236.45"/>
    <n v="87.73"/>
    <x v="3"/>
  </r>
  <r>
    <x v="1"/>
    <x v="3"/>
    <x v="0"/>
    <x v="0"/>
    <n v="49522"/>
    <n v="13749933.390000001"/>
    <n v="0.73"/>
    <n v="68.38"/>
    <n v="46.89"/>
    <n v="221.54"/>
    <n v="67.28"/>
    <x v="3"/>
  </r>
  <r>
    <x v="1"/>
    <x v="3"/>
    <x v="1"/>
    <x v="0"/>
    <n v="35672"/>
    <n v="43822054.960000001"/>
    <n v="0.84"/>
    <n v="44.22"/>
    <n v="46.9"/>
    <n v="285.05"/>
    <n v="50.09"/>
    <x v="0"/>
  </r>
  <r>
    <x v="1"/>
    <x v="3"/>
    <x v="2"/>
    <x v="0"/>
    <n v="23896"/>
    <n v="18747121.280000001"/>
    <n v="-0.49"/>
    <n v="32.090000000000003"/>
    <n v="10.83"/>
    <n v="225.49"/>
    <n v="56.78"/>
    <x v="2"/>
  </r>
  <r>
    <x v="1"/>
    <x v="3"/>
    <x v="3"/>
    <x v="0"/>
    <n v="7473"/>
    <n v="19621770.609999999"/>
    <n v="3.88"/>
    <n v="74.66"/>
    <n v="27.55"/>
    <n v="177.22"/>
    <n v="72.36"/>
    <x v="3"/>
  </r>
  <r>
    <x v="1"/>
    <x v="3"/>
    <x v="4"/>
    <x v="0"/>
    <n v="11913"/>
    <n v="41627181.200000003"/>
    <n v="-0.35"/>
    <n v="64.459999999999994"/>
    <n v="0.83999999999999897"/>
    <n v="155.16"/>
    <n v="44.89"/>
    <x v="1"/>
  </r>
  <r>
    <x v="1"/>
    <x v="3"/>
    <x v="5"/>
    <x v="1"/>
    <n v="39692"/>
    <n v="34859771.57"/>
    <n v="6.62"/>
    <n v="87.81"/>
    <n v="39.64"/>
    <n v="189.6"/>
    <n v="62.18"/>
    <x v="0"/>
  </r>
  <r>
    <x v="1"/>
    <x v="3"/>
    <x v="6"/>
    <x v="1"/>
    <n v="48805"/>
    <n v="32349455.399999999"/>
    <n v="4.42"/>
    <n v="99.33"/>
    <n v="33.79"/>
    <n v="96.26"/>
    <n v="57.17"/>
    <x v="3"/>
  </r>
  <r>
    <x v="1"/>
    <x v="3"/>
    <x v="7"/>
    <x v="1"/>
    <n v="8115"/>
    <n v="44826833.530000001"/>
    <n v="4.6500000000000004"/>
    <n v="62.42"/>
    <n v="41.52"/>
    <n v="295.85000000000002"/>
    <n v="48.71"/>
    <x v="0"/>
  </r>
  <r>
    <x v="1"/>
    <x v="3"/>
    <x v="8"/>
    <x v="1"/>
    <n v="52951"/>
    <n v="13524137.65"/>
    <n v="2.83"/>
    <n v="73.069999999999993"/>
    <n v="27.79"/>
    <n v="52.85"/>
    <n v="70.84"/>
    <x v="4"/>
  </r>
  <r>
    <x v="1"/>
    <x v="3"/>
    <x v="9"/>
    <x v="1"/>
    <n v="40353"/>
    <n v="16476389.24"/>
    <n v="3.06"/>
    <n v="46.41"/>
    <n v="21.11"/>
    <n v="194.98"/>
    <n v="54.61"/>
    <x v="2"/>
  </r>
  <r>
    <x v="1"/>
    <x v="3"/>
    <x v="10"/>
    <x v="1"/>
    <n v="26015"/>
    <n v="13548942.4439999"/>
    <n v="5.19"/>
    <n v="92.87"/>
    <n v="45.67"/>
    <n v="248.52"/>
    <n v="85.87"/>
    <x v="3"/>
  </r>
  <r>
    <x v="1"/>
    <x v="3"/>
    <x v="11"/>
    <x v="1"/>
    <n v="11163"/>
    <n v="12032304.635999899"/>
    <n v="3.84"/>
    <n v="40.71"/>
    <n v="45.09"/>
    <n v="122.22"/>
    <n v="83.63"/>
    <x v="3"/>
  </r>
  <r>
    <x v="1"/>
    <x v="3"/>
    <x v="12"/>
    <x v="1"/>
    <n v="36975"/>
    <n v="33358884.739999998"/>
    <n v="5.3599999999999897"/>
    <n v="74.28"/>
    <n v="33.57"/>
    <n v="72.540000000000006"/>
    <n v="57.77"/>
    <x v="3"/>
  </r>
  <r>
    <x v="1"/>
    <x v="3"/>
    <x v="13"/>
    <x v="1"/>
    <n v="28163"/>
    <n v="76740547.760000005"/>
    <n v="6.5"/>
    <n v="49.19"/>
    <n v="23.05"/>
    <n v="154.41999999999999"/>
    <n v="78.77"/>
    <x v="1"/>
  </r>
  <r>
    <x v="1"/>
    <x v="3"/>
    <x v="14"/>
    <x v="1"/>
    <n v="49246"/>
    <n v="5030391.84"/>
    <n v="6.07"/>
    <n v="51.07"/>
    <n v="47.75"/>
    <n v="137.41999999999999"/>
    <n v="71.5"/>
    <x v="2"/>
  </r>
  <r>
    <x v="1"/>
    <x v="1"/>
    <x v="7"/>
    <x v="1"/>
    <n v="63974"/>
    <n v="66783552.340000004"/>
    <n v="4.99"/>
    <n v="43.38"/>
    <n v="39.44"/>
    <n v="264.14999999999998"/>
    <n v="79.22"/>
    <x v="2"/>
  </r>
  <r>
    <x v="1"/>
    <x v="1"/>
    <x v="5"/>
    <x v="1"/>
    <n v="51214"/>
    <n v="22604101.449999999"/>
    <n v="3.88"/>
    <n v="98.74"/>
    <n v="29.87"/>
    <n v="153.44999999999999"/>
    <n v="54.94"/>
    <x v="3"/>
  </r>
  <r>
    <x v="1"/>
    <x v="0"/>
    <x v="8"/>
    <x v="1"/>
    <n v="11438"/>
    <n v="56002244.289999999"/>
    <n v="6.33"/>
    <n v="93.95"/>
    <n v="52.02"/>
    <n v="168.24"/>
    <n v="63.04"/>
    <x v="0"/>
  </r>
  <r>
    <x v="1"/>
    <x v="3"/>
    <x v="1"/>
    <x v="0"/>
    <n v="35672"/>
    <n v="43822054.960000001"/>
    <n v="0.84"/>
    <n v="44.22"/>
    <n v="46.9"/>
    <n v="285.05"/>
    <n v="50.09"/>
    <x v="0"/>
  </r>
  <r>
    <x v="1"/>
    <x v="3"/>
    <x v="1"/>
    <x v="0"/>
    <n v="35672"/>
    <n v="43822054.960000001"/>
    <n v="0.84"/>
    <n v="44.22"/>
    <n v="46.9"/>
    <n v="285.05"/>
    <n v="50.09"/>
    <x v="0"/>
  </r>
  <r>
    <x v="1"/>
    <x v="1"/>
    <x v="11"/>
    <x v="1"/>
    <n v="61462"/>
    <n v="55137531.491999902"/>
    <n v="5.7799999999999896"/>
    <n v="89.44"/>
    <n v="51.04"/>
    <n v="280.82"/>
    <n v="85.04"/>
    <x v="1"/>
  </r>
  <r>
    <x v="1"/>
    <x v="2"/>
    <x v="8"/>
    <x v="1"/>
    <n v="33872"/>
    <n v="60050676.799999997"/>
    <n v="2.94"/>
    <n v="88.63"/>
    <n v="27.11"/>
    <n v="186.09"/>
    <n v="61.17"/>
    <x v="2"/>
  </r>
  <r>
    <x v="1"/>
    <x v="0"/>
    <x v="14"/>
    <x v="1"/>
    <n v="53118"/>
    <n v="71564619.920000002"/>
    <n v="4.21"/>
    <n v="103.57"/>
    <n v="52.17"/>
    <n v="120.41"/>
    <n v="76.81"/>
    <x v="3"/>
  </r>
  <r>
    <x v="1"/>
    <x v="1"/>
    <x v="4"/>
    <x v="0"/>
    <n v="8601"/>
    <n v="32922566.239999998"/>
    <n v="2.99"/>
    <n v="82.16"/>
    <n v="47.56"/>
    <n v="139.41999999999999"/>
    <n v="52.96"/>
    <x v="0"/>
  </r>
  <r>
    <x v="1"/>
    <x v="3"/>
    <x v="6"/>
    <x v="1"/>
    <n v="48805"/>
    <n v="32349455.399999999"/>
    <n v="4.42"/>
    <n v="99.33"/>
    <n v="33.79"/>
    <n v="96.26"/>
    <n v="57.17"/>
    <x v="3"/>
  </r>
  <r>
    <x v="1"/>
    <x v="2"/>
    <x v="6"/>
    <x v="1"/>
    <n v="63137"/>
    <n v="23567297.829999998"/>
    <n v="4.79"/>
    <n v="66.150000000000006"/>
    <n v="49.64"/>
    <n v="94.47"/>
    <n v="82.6"/>
    <x v="3"/>
  </r>
  <r>
    <x v="1"/>
    <x v="2"/>
    <x v="9"/>
    <x v="1"/>
    <n v="56598"/>
    <n v="9650777.5319999997"/>
    <n v="6.61"/>
    <n v="77.650000000000006"/>
    <n v="26.15"/>
    <n v="69.040000000000006"/>
    <n v="88.7"/>
    <x v="1"/>
  </r>
  <r>
    <x v="1"/>
    <x v="0"/>
    <x v="1"/>
    <x v="0"/>
    <n v="21472"/>
    <n v="34965645.310000002"/>
    <n v="0.25"/>
    <n v="49.22"/>
    <n v="24.99"/>
    <n v="247.01"/>
    <n v="80.17"/>
    <x v="1"/>
  </r>
  <r>
    <x v="1"/>
    <x v="3"/>
    <x v="12"/>
    <x v="1"/>
    <n v="36975"/>
    <n v="33358884.739999998"/>
    <n v="5.3599999999999897"/>
    <n v="74.28"/>
    <n v="33.57"/>
    <n v="72.540000000000006"/>
    <n v="57.77"/>
    <x v="3"/>
  </r>
  <r>
    <x v="1"/>
    <x v="2"/>
    <x v="6"/>
    <x v="1"/>
    <n v="63137"/>
    <n v="23567297.829999998"/>
    <n v="4.79"/>
    <n v="66.150000000000006"/>
    <n v="49.64"/>
    <n v="94.47"/>
    <n v="82.6"/>
    <x v="3"/>
  </r>
  <r>
    <x v="1"/>
    <x v="2"/>
    <x v="4"/>
    <x v="0"/>
    <n v="44767"/>
    <n v="6397386.2189999996"/>
    <n v="2.66"/>
    <n v="65.67"/>
    <n v="24.92"/>
    <n v="94.9"/>
    <n v="53.63"/>
    <x v="2"/>
  </r>
  <r>
    <x v="1"/>
    <x v="2"/>
    <x v="5"/>
    <x v="1"/>
    <n v="29628"/>
    <n v="50812407.275999904"/>
    <n v="5.1099999999999897"/>
    <n v="88.32"/>
    <n v="13.49"/>
    <n v="66.69"/>
    <n v="63.04"/>
    <x v="0"/>
  </r>
  <r>
    <x v="1"/>
    <x v="1"/>
    <x v="1"/>
    <x v="0"/>
    <n v="8785"/>
    <n v="16339172.24"/>
    <n v="-0.36"/>
    <n v="50.5"/>
    <n v="16.16"/>
    <n v="96.06"/>
    <n v="70.489999999999995"/>
    <x v="4"/>
  </r>
  <r>
    <x v="1"/>
    <x v="0"/>
    <x v="7"/>
    <x v="1"/>
    <n v="48484"/>
    <n v="10752134.16"/>
    <n v="3.75"/>
    <n v="41.49"/>
    <n v="10.67"/>
    <n v="87.88"/>
    <n v="79.09"/>
    <x v="2"/>
  </r>
  <r>
    <x v="1"/>
    <x v="1"/>
    <x v="4"/>
    <x v="0"/>
    <n v="8601"/>
    <n v="32922566.239999998"/>
    <n v="2.99"/>
    <n v="82.16"/>
    <n v="47.56"/>
    <n v="139.41999999999999"/>
    <n v="52.96"/>
    <x v="0"/>
  </r>
  <r>
    <x v="1"/>
    <x v="1"/>
    <x v="14"/>
    <x v="1"/>
    <n v="47830"/>
    <n v="79207664.340000004"/>
    <n v="3.46"/>
    <n v="58.97"/>
    <n v="52.43"/>
    <n v="236.28"/>
    <n v="50.08"/>
    <x v="0"/>
  </r>
  <r>
    <x v="1"/>
    <x v="0"/>
    <x v="8"/>
    <x v="1"/>
    <n v="11438"/>
    <n v="56002244.289999999"/>
    <n v="6.33"/>
    <n v="93.95"/>
    <n v="52.02"/>
    <n v="168.24"/>
    <n v="63.04"/>
    <x v="0"/>
  </r>
  <r>
    <x v="1"/>
    <x v="1"/>
    <x v="14"/>
    <x v="1"/>
    <n v="47830"/>
    <n v="79207664.340000004"/>
    <n v="3.46"/>
    <n v="58.97"/>
    <n v="52.43"/>
    <n v="236.28"/>
    <n v="50.08"/>
    <x v="0"/>
  </r>
  <r>
    <x v="1"/>
    <x v="3"/>
    <x v="11"/>
    <x v="1"/>
    <n v="11163"/>
    <n v="12032304.635999899"/>
    <n v="3.84"/>
    <n v="40.71"/>
    <n v="45.09"/>
    <n v="122.22"/>
    <n v="83.63"/>
    <x v="3"/>
  </r>
  <r>
    <x v="1"/>
    <x v="2"/>
    <x v="11"/>
    <x v="1"/>
    <n v="53108"/>
    <n v="8982957.7799999993"/>
    <n v="6.02"/>
    <n v="47.8"/>
    <n v="32.450000000000003"/>
    <n v="100.39"/>
    <n v="59.44"/>
    <x v="1"/>
  </r>
  <r>
    <x v="1"/>
    <x v="0"/>
    <x v="5"/>
    <x v="1"/>
    <n v="42883"/>
    <n v="18588730.370000001"/>
    <n v="6.37"/>
    <n v="72.87"/>
    <n v="45.86"/>
    <n v="273.58999999999997"/>
    <n v="52.9"/>
    <x v="0"/>
  </r>
  <r>
    <x v="1"/>
    <x v="3"/>
    <x v="3"/>
    <x v="0"/>
    <n v="7473"/>
    <n v="19621770.609999999"/>
    <n v="3.88"/>
    <n v="74.66"/>
    <n v="27.55"/>
    <n v="177.22"/>
    <n v="72.36"/>
    <x v="3"/>
  </r>
  <r>
    <x v="1"/>
    <x v="2"/>
    <x v="4"/>
    <x v="0"/>
    <n v="44767"/>
    <n v="6397386.2189999996"/>
    <n v="2.66"/>
    <n v="65.67"/>
    <n v="24.92"/>
    <n v="94.9"/>
    <n v="53.63"/>
    <x v="2"/>
  </r>
  <r>
    <x v="1"/>
    <x v="3"/>
    <x v="3"/>
    <x v="0"/>
    <n v="7473"/>
    <n v="19621770.609999999"/>
    <n v="3.88"/>
    <n v="74.66"/>
    <n v="27.55"/>
    <n v="177.22"/>
    <n v="72.36"/>
    <x v="3"/>
  </r>
  <r>
    <x v="1"/>
    <x v="2"/>
    <x v="7"/>
    <x v="1"/>
    <n v="56115"/>
    <n v="16158944.449999999"/>
    <n v="6.22"/>
    <n v="91.44"/>
    <n v="29.96"/>
    <n v="193.54"/>
    <n v="89.31"/>
    <x v="4"/>
  </r>
  <r>
    <x v="1"/>
    <x v="2"/>
    <x v="2"/>
    <x v="0"/>
    <n v="7511"/>
    <n v="31385211.280000001"/>
    <n v="1.48"/>
    <n v="60"/>
    <n v="1.68"/>
    <n v="52.52"/>
    <n v="85.45"/>
    <x v="3"/>
  </r>
  <r>
    <x v="1"/>
    <x v="2"/>
    <x v="7"/>
    <x v="1"/>
    <n v="56115"/>
    <n v="16158944.449999999"/>
    <n v="6.22"/>
    <n v="91.44"/>
    <n v="29.96"/>
    <n v="193.54"/>
    <n v="89.31"/>
    <x v="4"/>
  </r>
  <r>
    <x v="1"/>
    <x v="1"/>
    <x v="13"/>
    <x v="1"/>
    <n v="53896"/>
    <n v="47982928.727999903"/>
    <n v="3.17"/>
    <n v="75.16"/>
    <n v="22.74"/>
    <n v="92.93"/>
    <n v="86.89"/>
    <x v="1"/>
  </r>
  <r>
    <x v="1"/>
    <x v="3"/>
    <x v="6"/>
    <x v="1"/>
    <n v="48805"/>
    <n v="32349455.399999999"/>
    <n v="4.42"/>
    <n v="99.33"/>
    <n v="33.79"/>
    <n v="96.26"/>
    <n v="57.17"/>
    <x v="3"/>
  </r>
  <r>
    <x v="1"/>
    <x v="0"/>
    <x v="4"/>
    <x v="0"/>
    <n v="18546"/>
    <n v="42315159.990000002"/>
    <n v="1.81"/>
    <n v="58.09"/>
    <n v="33.08"/>
    <n v="110.9"/>
    <n v="49.63"/>
    <x v="1"/>
  </r>
  <r>
    <x v="1"/>
    <x v="1"/>
    <x v="3"/>
    <x v="0"/>
    <n v="29178"/>
    <n v="41803911.049999997"/>
    <n v="2.59"/>
    <n v="47.84"/>
    <n v="16.52"/>
    <n v="134.32"/>
    <n v="74.930000000000007"/>
    <x v="1"/>
  </r>
  <r>
    <x v="1"/>
    <x v="0"/>
    <x v="6"/>
    <x v="1"/>
    <n v="49662"/>
    <n v="52134225.079999998"/>
    <n v="2.9"/>
    <n v="96.42"/>
    <n v="52.2"/>
    <n v="187.23"/>
    <n v="76.5"/>
    <x v="2"/>
  </r>
  <r>
    <x v="1"/>
    <x v="2"/>
    <x v="1"/>
    <x v="0"/>
    <n v="38772"/>
    <n v="27841226.879999999"/>
    <n v="3.48"/>
    <n v="60.92"/>
    <n v="27.62"/>
    <n v="136.07"/>
    <n v="84.47"/>
    <x v="4"/>
  </r>
  <r>
    <x v="1"/>
    <x v="0"/>
    <x v="10"/>
    <x v="1"/>
    <n v="40807"/>
    <n v="28409469.32"/>
    <n v="3.04"/>
    <n v="47.56"/>
    <n v="33.590000000000003"/>
    <n v="95.38"/>
    <n v="57.91"/>
    <x v="1"/>
  </r>
  <r>
    <x v="1"/>
    <x v="0"/>
    <x v="7"/>
    <x v="1"/>
    <n v="48484"/>
    <n v="10752134.16"/>
    <n v="3.75"/>
    <n v="41.49"/>
    <n v="10.67"/>
    <n v="87.88"/>
    <n v="79.09"/>
    <x v="2"/>
  </r>
  <r>
    <x v="1"/>
    <x v="3"/>
    <x v="8"/>
    <x v="1"/>
    <n v="52951"/>
    <n v="13524137.65"/>
    <n v="2.83"/>
    <n v="73.069999999999993"/>
    <n v="27.79"/>
    <n v="52.85"/>
    <n v="70.84"/>
    <x v="4"/>
  </r>
  <r>
    <x v="1"/>
    <x v="1"/>
    <x v="13"/>
    <x v="1"/>
    <n v="53896"/>
    <n v="47982928.727999903"/>
    <n v="3.17"/>
    <n v="75.16"/>
    <n v="22.74"/>
    <n v="92.93"/>
    <n v="86.89"/>
    <x v="1"/>
  </r>
  <r>
    <x v="1"/>
    <x v="3"/>
    <x v="11"/>
    <x v="1"/>
    <n v="11163"/>
    <n v="12032304.635999899"/>
    <n v="3.84"/>
    <n v="40.71"/>
    <n v="45.09"/>
    <n v="122.22"/>
    <n v="83.63"/>
    <x v="3"/>
  </r>
  <r>
    <x v="1"/>
    <x v="0"/>
    <x v="5"/>
    <x v="1"/>
    <n v="42883"/>
    <n v="18588730.370000001"/>
    <n v="6.37"/>
    <n v="72.87"/>
    <n v="45.86"/>
    <n v="273.58999999999997"/>
    <n v="52.9"/>
    <x v="0"/>
  </r>
  <r>
    <x v="1"/>
    <x v="0"/>
    <x v="10"/>
    <x v="1"/>
    <n v="40807"/>
    <n v="28409469.32"/>
    <n v="3.04"/>
    <n v="47.56"/>
    <n v="33.590000000000003"/>
    <n v="95.38"/>
    <n v="57.91"/>
    <x v="1"/>
  </r>
  <r>
    <x v="1"/>
    <x v="3"/>
    <x v="3"/>
    <x v="0"/>
    <n v="7473"/>
    <n v="19621770.609999999"/>
    <n v="3.88"/>
    <n v="74.66"/>
    <n v="27.55"/>
    <n v="177.22"/>
    <n v="72.36"/>
    <x v="3"/>
  </r>
  <r>
    <x v="2"/>
    <x v="0"/>
    <x v="0"/>
    <x v="0"/>
    <n v="44456"/>
    <n v="14331275.99"/>
    <n v="0.64999999999999902"/>
    <n v="61.11"/>
    <n v="40.369999999999997"/>
    <n v="129.5"/>
    <n v="66.930000000000007"/>
    <x v="3"/>
  </r>
  <r>
    <x v="2"/>
    <x v="0"/>
    <x v="1"/>
    <x v="0"/>
    <n v="6548"/>
    <n v="54168172.520000003"/>
    <n v="2.64"/>
    <n v="63.01"/>
    <n v="17.850000000000001"/>
    <n v="279.58"/>
    <n v="73.97"/>
    <x v="4"/>
  </r>
  <r>
    <x v="2"/>
    <x v="0"/>
    <x v="2"/>
    <x v="0"/>
    <n v="36129"/>
    <n v="28657040.440000001"/>
    <n v="0.49"/>
    <n v="60.6"/>
    <n v="1.5699999999999901"/>
    <n v="209.38"/>
    <n v="62.41"/>
    <x v="2"/>
  </r>
  <r>
    <x v="2"/>
    <x v="0"/>
    <x v="3"/>
    <x v="0"/>
    <n v="36476"/>
    <n v="9769649.4360000007"/>
    <n v="0.39999999999999902"/>
    <n v="67.05"/>
    <n v="29.96"/>
    <n v="138.12"/>
    <n v="52.54"/>
    <x v="4"/>
  </r>
  <r>
    <x v="2"/>
    <x v="0"/>
    <x v="4"/>
    <x v="0"/>
    <n v="34090"/>
    <n v="7777936.3679999998"/>
    <n v="3.54"/>
    <n v="71.27"/>
    <n v="41.68"/>
    <n v="171.59"/>
    <n v="50.17"/>
    <x v="2"/>
  </r>
  <r>
    <x v="2"/>
    <x v="0"/>
    <x v="5"/>
    <x v="1"/>
    <n v="30278"/>
    <n v="12377641.48"/>
    <n v="3.86"/>
    <n v="40.51"/>
    <n v="51.79"/>
    <n v="184.8"/>
    <n v="61.75"/>
    <x v="2"/>
  </r>
  <r>
    <x v="2"/>
    <x v="0"/>
    <x v="6"/>
    <x v="1"/>
    <n v="57898"/>
    <n v="19848318.309999999"/>
    <n v="4.43"/>
    <n v="45.27"/>
    <n v="23.12"/>
    <n v="277.64999999999998"/>
    <n v="55.07"/>
    <x v="1"/>
  </r>
  <r>
    <x v="2"/>
    <x v="0"/>
    <x v="7"/>
    <x v="1"/>
    <n v="44847"/>
    <n v="14310727.310000001"/>
    <n v="5.07"/>
    <n v="66.56"/>
    <n v="16.829999999999998"/>
    <n v="97.53"/>
    <n v="53.5"/>
    <x v="4"/>
  </r>
  <r>
    <x v="2"/>
    <x v="0"/>
    <x v="8"/>
    <x v="1"/>
    <n v="6557"/>
    <n v="41433407.509999998"/>
    <n v="2.69"/>
    <n v="94.68"/>
    <n v="54.35"/>
    <n v="127.45"/>
    <n v="85.11"/>
    <x v="0"/>
  </r>
  <r>
    <x v="2"/>
    <x v="0"/>
    <x v="9"/>
    <x v="1"/>
    <n v="58334"/>
    <n v="67042799.399999999"/>
    <n v="6.02"/>
    <n v="90.08"/>
    <n v="10.35"/>
    <n v="102.66"/>
    <n v="60.11"/>
    <x v="4"/>
  </r>
  <r>
    <x v="2"/>
    <x v="0"/>
    <x v="10"/>
    <x v="1"/>
    <n v="42025"/>
    <n v="46339655.030000001"/>
    <n v="4.66"/>
    <n v="82.85"/>
    <n v="36.11"/>
    <n v="176.96"/>
    <n v="71.11"/>
    <x v="3"/>
  </r>
  <r>
    <x v="2"/>
    <x v="0"/>
    <x v="11"/>
    <x v="1"/>
    <n v="8612"/>
    <n v="30287874.850000001"/>
    <n v="3.62"/>
    <n v="54.88"/>
    <n v="52.25"/>
    <n v="288.87"/>
    <n v="72.55"/>
    <x v="0"/>
  </r>
  <r>
    <x v="2"/>
    <x v="0"/>
    <x v="12"/>
    <x v="1"/>
    <n v="33689"/>
    <n v="37582037.579999998"/>
    <n v="6.06"/>
    <n v="97.44"/>
    <n v="25.59"/>
    <n v="133.77000000000001"/>
    <n v="92.93"/>
    <x v="4"/>
  </r>
  <r>
    <x v="2"/>
    <x v="0"/>
    <x v="13"/>
    <x v="1"/>
    <n v="60093"/>
    <n v="79592293.1639999"/>
    <n v="3.24"/>
    <n v="68.56"/>
    <n v="48.17"/>
    <n v="130.83000000000001"/>
    <n v="75.69"/>
    <x v="1"/>
  </r>
  <r>
    <x v="2"/>
    <x v="0"/>
    <x v="14"/>
    <x v="1"/>
    <n v="50612"/>
    <n v="24547804.329999998"/>
    <n v="4.38"/>
    <n v="76.13"/>
    <n v="16.43"/>
    <n v="58.21"/>
    <n v="60.85"/>
    <x v="0"/>
  </r>
  <r>
    <x v="2"/>
    <x v="1"/>
    <x v="0"/>
    <x v="0"/>
    <n v="33392"/>
    <n v="40200175.950000003"/>
    <n v="-0.14000000000000001"/>
    <n v="69.319999999999993"/>
    <n v="24.76"/>
    <n v="255.14"/>
    <n v="39.33"/>
    <x v="3"/>
  </r>
  <r>
    <x v="2"/>
    <x v="1"/>
    <x v="1"/>
    <x v="0"/>
    <n v="20351"/>
    <n v="10720475.02"/>
    <n v="3.45"/>
    <n v="77.709999999999994"/>
    <n v="3.3"/>
    <n v="285.13"/>
    <n v="73.56"/>
    <x v="3"/>
  </r>
  <r>
    <x v="2"/>
    <x v="1"/>
    <x v="2"/>
    <x v="0"/>
    <n v="9689"/>
    <n v="18237818.16"/>
    <n v="-0.39"/>
    <n v="45.74"/>
    <n v="39.58"/>
    <n v="291.06"/>
    <n v="65.819999999999993"/>
    <x v="3"/>
  </r>
  <r>
    <x v="2"/>
    <x v="1"/>
    <x v="3"/>
    <x v="0"/>
    <n v="19360"/>
    <n v="21067765.940000001"/>
    <n v="0.71"/>
    <n v="72.25"/>
    <n v="24.64"/>
    <n v="119.68"/>
    <n v="71.099999999999994"/>
    <x v="1"/>
  </r>
  <r>
    <x v="2"/>
    <x v="1"/>
    <x v="4"/>
    <x v="0"/>
    <n v="41937"/>
    <n v="10442280.66"/>
    <n v="-0.2"/>
    <n v="67"/>
    <n v="23.33"/>
    <n v="106.63"/>
    <n v="42.6"/>
    <x v="0"/>
  </r>
  <r>
    <x v="2"/>
    <x v="1"/>
    <x v="5"/>
    <x v="1"/>
    <n v="26634"/>
    <n v="17977115.149999999"/>
    <n v="2.97"/>
    <n v="45.93"/>
    <n v="52.08"/>
    <n v="238.86"/>
    <n v="74.08"/>
    <x v="2"/>
  </r>
  <r>
    <x v="2"/>
    <x v="1"/>
    <x v="6"/>
    <x v="1"/>
    <n v="36653"/>
    <n v="38555751.189999998"/>
    <n v="4.34"/>
    <n v="88.65"/>
    <n v="27.12"/>
    <n v="280.3"/>
    <n v="66"/>
    <x v="2"/>
  </r>
  <r>
    <x v="2"/>
    <x v="1"/>
    <x v="7"/>
    <x v="1"/>
    <n v="61958"/>
    <n v="56094433.859999903"/>
    <n v="4.58"/>
    <n v="59.36"/>
    <n v="24.48"/>
    <n v="62.63"/>
    <n v="92.83"/>
    <x v="0"/>
  </r>
  <r>
    <x v="2"/>
    <x v="1"/>
    <x v="8"/>
    <x v="1"/>
    <n v="6501"/>
    <n v="38321092.719999999"/>
    <n v="5.2799999999999896"/>
    <n v="74.459999999999994"/>
    <n v="32.11"/>
    <n v="93.6"/>
    <n v="93.25"/>
    <x v="1"/>
  </r>
  <r>
    <x v="2"/>
    <x v="1"/>
    <x v="9"/>
    <x v="1"/>
    <n v="31267"/>
    <n v="31015491.109999999"/>
    <n v="3.11"/>
    <n v="75.22"/>
    <n v="36.29"/>
    <n v="75.66"/>
    <n v="48.08"/>
    <x v="4"/>
  </r>
  <r>
    <x v="2"/>
    <x v="1"/>
    <x v="10"/>
    <x v="1"/>
    <n v="27446"/>
    <n v="66537700.595999897"/>
    <n v="5.89"/>
    <n v="93.07"/>
    <n v="25.38"/>
    <n v="199.61"/>
    <n v="89.51"/>
    <x v="3"/>
  </r>
  <r>
    <x v="2"/>
    <x v="1"/>
    <x v="11"/>
    <x v="1"/>
    <n v="60479"/>
    <n v="80946999.2519999"/>
    <n v="4.3599999999999897"/>
    <n v="41.23"/>
    <n v="45.34"/>
    <n v="215.46"/>
    <n v="49.82"/>
    <x v="1"/>
  </r>
  <r>
    <x v="2"/>
    <x v="1"/>
    <x v="12"/>
    <x v="1"/>
    <n v="33576"/>
    <n v="15758344.550000001"/>
    <n v="6.65"/>
    <n v="73.37"/>
    <n v="14.85"/>
    <n v="69.650000000000006"/>
    <n v="58.52"/>
    <x v="4"/>
  </r>
  <r>
    <x v="2"/>
    <x v="1"/>
    <x v="13"/>
    <x v="1"/>
    <n v="53719"/>
    <n v="32766472.260000002"/>
    <n v="2.82"/>
    <n v="96.44"/>
    <n v="40.479999999999997"/>
    <n v="160.44999999999999"/>
    <n v="71.77"/>
    <x v="1"/>
  </r>
  <r>
    <x v="2"/>
    <x v="1"/>
    <x v="14"/>
    <x v="1"/>
    <n v="34710"/>
    <n v="17998844.949999999"/>
    <n v="5.2799999999999896"/>
    <n v="61.27"/>
    <n v="11.75"/>
    <n v="237.56"/>
    <n v="76.8"/>
    <x v="2"/>
  </r>
  <r>
    <x v="2"/>
    <x v="2"/>
    <x v="0"/>
    <x v="0"/>
    <n v="39031"/>
    <n v="18608941.010000002"/>
    <n v="3.81"/>
    <n v="33.54"/>
    <n v="15.3"/>
    <n v="107.98"/>
    <n v="58.3"/>
    <x v="0"/>
  </r>
  <r>
    <x v="2"/>
    <x v="2"/>
    <x v="1"/>
    <x v="0"/>
    <n v="34903"/>
    <n v="18518248.489999998"/>
    <n v="2.0499999999999998"/>
    <n v="53.32"/>
    <n v="5.41"/>
    <n v="217.97"/>
    <n v="54.81"/>
    <x v="4"/>
  </r>
  <r>
    <x v="2"/>
    <x v="2"/>
    <x v="2"/>
    <x v="0"/>
    <n v="35996"/>
    <n v="23537405.350000001"/>
    <n v="3.53"/>
    <n v="37.57"/>
    <n v="31.68"/>
    <n v="291.12"/>
    <n v="85.21"/>
    <x v="1"/>
  </r>
  <r>
    <x v="2"/>
    <x v="2"/>
    <x v="3"/>
    <x v="0"/>
    <n v="42820"/>
    <n v="29532856.460000001"/>
    <n v="-0.47"/>
    <n v="68.239999999999995"/>
    <n v="19.11"/>
    <n v="188.16"/>
    <n v="46.5"/>
    <x v="1"/>
  </r>
  <r>
    <x v="2"/>
    <x v="2"/>
    <x v="4"/>
    <x v="0"/>
    <n v="28881"/>
    <n v="21441364.649999999"/>
    <n v="0.65999999999999903"/>
    <n v="41.69"/>
    <n v="44.53"/>
    <n v="269.38"/>
    <n v="59.06"/>
    <x v="2"/>
  </r>
  <r>
    <x v="2"/>
    <x v="2"/>
    <x v="5"/>
    <x v="1"/>
    <n v="55419"/>
    <n v="10737537.960000001"/>
    <n v="2.59"/>
    <n v="68.8"/>
    <n v="35.979999999999997"/>
    <n v="196.85"/>
    <n v="72.959999999999994"/>
    <x v="2"/>
  </r>
  <r>
    <x v="2"/>
    <x v="2"/>
    <x v="6"/>
    <x v="1"/>
    <n v="7872"/>
    <n v="5221237.3320000004"/>
    <n v="4.1099999999999897"/>
    <n v="54.57"/>
    <n v="44.85"/>
    <n v="202.32"/>
    <n v="88.65"/>
    <x v="4"/>
  </r>
  <r>
    <x v="2"/>
    <x v="2"/>
    <x v="7"/>
    <x v="1"/>
    <n v="24758"/>
    <n v="51101597.950000003"/>
    <n v="4.72"/>
    <n v="98.62"/>
    <n v="35.629999999999903"/>
    <n v="259.73"/>
    <n v="81.14"/>
    <x v="2"/>
  </r>
  <r>
    <x v="2"/>
    <x v="2"/>
    <x v="8"/>
    <x v="1"/>
    <n v="50384"/>
    <n v="16798329.649999999"/>
    <n v="4.3599999999999897"/>
    <n v="89.43"/>
    <n v="51.51"/>
    <n v="132.01"/>
    <n v="80.989999999999995"/>
    <x v="0"/>
  </r>
  <r>
    <x v="2"/>
    <x v="2"/>
    <x v="9"/>
    <x v="1"/>
    <n v="8281"/>
    <n v="15827206.449999999"/>
    <n v="2.87"/>
    <n v="97.24"/>
    <n v="49.02"/>
    <n v="297.81"/>
    <n v="77.33"/>
    <x v="3"/>
  </r>
  <r>
    <x v="2"/>
    <x v="2"/>
    <x v="10"/>
    <x v="1"/>
    <n v="54330"/>
    <n v="37269680.390000001"/>
    <n v="6.02"/>
    <n v="48.4"/>
    <n v="15.34"/>
    <n v="212.64"/>
    <n v="88.87"/>
    <x v="2"/>
  </r>
  <r>
    <x v="2"/>
    <x v="2"/>
    <x v="11"/>
    <x v="1"/>
    <n v="32683"/>
    <n v="17951923.895999901"/>
    <n v="4.8599999999999897"/>
    <n v="53.85"/>
    <n v="21.86"/>
    <n v="99.2"/>
    <n v="71.55"/>
    <x v="4"/>
  </r>
  <r>
    <x v="2"/>
    <x v="2"/>
    <x v="12"/>
    <x v="1"/>
    <n v="58052"/>
    <n v="45303231.340000004"/>
    <n v="5.93"/>
    <n v="82.65"/>
    <n v="33.54"/>
    <n v="271.18"/>
    <n v="90.26"/>
    <x v="0"/>
  </r>
  <r>
    <x v="2"/>
    <x v="2"/>
    <x v="13"/>
    <x v="1"/>
    <n v="28022"/>
    <n v="33044277.48"/>
    <n v="3.7"/>
    <n v="91.77"/>
    <n v="8.11"/>
    <n v="274.8"/>
    <n v="87"/>
    <x v="4"/>
  </r>
  <r>
    <x v="2"/>
    <x v="2"/>
    <x v="14"/>
    <x v="1"/>
    <n v="55987"/>
    <n v="5330566.68"/>
    <n v="2.81"/>
    <n v="47.52"/>
    <n v="46.97"/>
    <n v="166.12"/>
    <n v="82.49"/>
    <x v="0"/>
  </r>
  <r>
    <x v="2"/>
    <x v="3"/>
    <x v="0"/>
    <x v="0"/>
    <n v="5309"/>
    <n v="30375439.559999999"/>
    <n v="-0.17"/>
    <n v="38.35"/>
    <n v="33.49"/>
    <n v="297.3"/>
    <n v="66.819999999999993"/>
    <x v="0"/>
  </r>
  <r>
    <x v="2"/>
    <x v="3"/>
    <x v="1"/>
    <x v="0"/>
    <n v="39415"/>
    <n v="15774523.4"/>
    <n v="3.44"/>
    <n v="72.400000000000006"/>
    <n v="38.090000000000003"/>
    <n v="242.8"/>
    <n v="86.48"/>
    <x v="3"/>
  </r>
  <r>
    <x v="2"/>
    <x v="3"/>
    <x v="2"/>
    <x v="0"/>
    <n v="7734"/>
    <n v="10384187.42"/>
    <n v="2.4300000000000002"/>
    <n v="37.340000000000003"/>
    <n v="20.93"/>
    <n v="122.97"/>
    <n v="82.42"/>
    <x v="1"/>
  </r>
  <r>
    <x v="2"/>
    <x v="3"/>
    <x v="3"/>
    <x v="0"/>
    <n v="40180"/>
    <n v="8451472.2209999897"/>
    <n v="3.22"/>
    <n v="52.55"/>
    <n v="44.45"/>
    <n v="97.8"/>
    <n v="53.34"/>
    <x v="4"/>
  </r>
  <r>
    <x v="2"/>
    <x v="3"/>
    <x v="4"/>
    <x v="0"/>
    <n v="39509"/>
    <n v="57709591.710000001"/>
    <n v="0.439999999999999"/>
    <n v="52.43"/>
    <n v="9.26"/>
    <n v="214.47"/>
    <n v="84.68"/>
    <x v="2"/>
  </r>
  <r>
    <x v="2"/>
    <x v="3"/>
    <x v="5"/>
    <x v="1"/>
    <n v="7653"/>
    <n v="25848407.75"/>
    <n v="6.33"/>
    <n v="66.02"/>
    <n v="9.81"/>
    <n v="183.48"/>
    <n v="54.28"/>
    <x v="2"/>
  </r>
  <r>
    <x v="2"/>
    <x v="3"/>
    <x v="6"/>
    <x v="1"/>
    <n v="10112"/>
    <n v="41338291.909999996"/>
    <n v="3.44"/>
    <n v="40.869999999999997"/>
    <n v="37.22"/>
    <n v="93.6"/>
    <n v="72.67"/>
    <x v="0"/>
  </r>
  <r>
    <x v="2"/>
    <x v="3"/>
    <x v="7"/>
    <x v="1"/>
    <n v="63494"/>
    <n v="10304716.720000001"/>
    <n v="3.98"/>
    <n v="74.63"/>
    <n v="53.48"/>
    <n v="296.12"/>
    <n v="93.14"/>
    <x v="3"/>
  </r>
  <r>
    <x v="2"/>
    <x v="3"/>
    <x v="8"/>
    <x v="1"/>
    <n v="40197"/>
    <n v="47733241.810000002"/>
    <n v="4.21"/>
    <n v="63.71"/>
    <n v="37.93"/>
    <n v="70.52"/>
    <n v="74.59"/>
    <x v="4"/>
  </r>
  <r>
    <x v="2"/>
    <x v="3"/>
    <x v="9"/>
    <x v="1"/>
    <n v="28000"/>
    <n v="39976458.880000003"/>
    <n v="6.67"/>
    <n v="56.79"/>
    <n v="11.35"/>
    <n v="240.77"/>
    <n v="51.48"/>
    <x v="0"/>
  </r>
  <r>
    <x v="2"/>
    <x v="3"/>
    <x v="10"/>
    <x v="1"/>
    <n v="30537"/>
    <n v="33782555.279999897"/>
    <n v="6.26"/>
    <n v="48.75"/>
    <n v="15.75"/>
    <n v="162.28"/>
    <n v="64.739999999999995"/>
    <x v="1"/>
  </r>
  <r>
    <x v="2"/>
    <x v="3"/>
    <x v="11"/>
    <x v="1"/>
    <n v="16890"/>
    <n v="10789418.339999899"/>
    <n v="3.36"/>
    <n v="73.7"/>
    <n v="27.02"/>
    <n v="202.39"/>
    <n v="52.08"/>
    <x v="4"/>
  </r>
  <r>
    <x v="2"/>
    <x v="3"/>
    <x v="12"/>
    <x v="1"/>
    <n v="50895"/>
    <n v="58673135.229999997"/>
    <n v="5.33"/>
    <n v="57.73"/>
    <n v="31.67"/>
    <n v="226.07"/>
    <n v="94.36"/>
    <x v="0"/>
  </r>
  <r>
    <x v="2"/>
    <x v="3"/>
    <x v="13"/>
    <x v="1"/>
    <n v="14293"/>
    <n v="84264943.840000004"/>
    <n v="3.84"/>
    <n v="95.98"/>
    <n v="19.39"/>
    <n v="139.82"/>
    <n v="81.790000000000006"/>
    <x v="0"/>
  </r>
  <r>
    <x v="2"/>
    <x v="3"/>
    <x v="14"/>
    <x v="1"/>
    <n v="18172"/>
    <n v="7206944.6519999998"/>
    <n v="5.16"/>
    <n v="68.44"/>
    <n v="22.27"/>
    <n v="184.61"/>
    <n v="68.86"/>
    <x v="4"/>
  </r>
  <r>
    <x v="2"/>
    <x v="0"/>
    <x v="0"/>
    <x v="0"/>
    <n v="44456"/>
    <n v="14331275.99"/>
    <n v="0.64999999999999902"/>
    <n v="61.11"/>
    <n v="40.369999999999997"/>
    <n v="129.5"/>
    <n v="66.930000000000007"/>
    <x v="3"/>
  </r>
  <r>
    <x v="2"/>
    <x v="0"/>
    <x v="1"/>
    <x v="0"/>
    <n v="6548"/>
    <n v="54168172.520000003"/>
    <n v="2.64"/>
    <n v="63.01"/>
    <n v="17.850000000000001"/>
    <n v="279.58"/>
    <n v="73.97"/>
    <x v="4"/>
  </r>
  <r>
    <x v="2"/>
    <x v="0"/>
    <x v="2"/>
    <x v="0"/>
    <n v="36129"/>
    <n v="28657040.440000001"/>
    <n v="0.49"/>
    <n v="60.6"/>
    <n v="1.5699999999999901"/>
    <n v="209.38"/>
    <n v="62.41"/>
    <x v="2"/>
  </r>
  <r>
    <x v="2"/>
    <x v="0"/>
    <x v="3"/>
    <x v="0"/>
    <n v="36476"/>
    <n v="9769649.4360000007"/>
    <n v="0.39999999999999902"/>
    <n v="67.05"/>
    <n v="29.96"/>
    <n v="138.12"/>
    <n v="52.54"/>
    <x v="4"/>
  </r>
  <r>
    <x v="2"/>
    <x v="0"/>
    <x v="4"/>
    <x v="0"/>
    <n v="34090"/>
    <n v="7777936.3679999998"/>
    <n v="3.54"/>
    <n v="71.27"/>
    <n v="41.68"/>
    <n v="171.59"/>
    <n v="50.17"/>
    <x v="2"/>
  </r>
  <r>
    <x v="2"/>
    <x v="0"/>
    <x v="5"/>
    <x v="1"/>
    <n v="30278"/>
    <n v="12377641.48"/>
    <n v="3.86"/>
    <n v="40.51"/>
    <n v="51.79"/>
    <n v="184.8"/>
    <n v="61.75"/>
    <x v="2"/>
  </r>
  <r>
    <x v="2"/>
    <x v="0"/>
    <x v="6"/>
    <x v="1"/>
    <n v="57898"/>
    <n v="19848318.309999999"/>
    <n v="4.43"/>
    <n v="45.27"/>
    <n v="23.12"/>
    <n v="277.64999999999998"/>
    <n v="55.07"/>
    <x v="1"/>
  </r>
  <r>
    <x v="2"/>
    <x v="0"/>
    <x v="7"/>
    <x v="1"/>
    <n v="44847"/>
    <n v="14310727.310000001"/>
    <n v="5.07"/>
    <n v="66.56"/>
    <n v="16.829999999999998"/>
    <n v="97.53"/>
    <n v="53.5"/>
    <x v="4"/>
  </r>
  <r>
    <x v="2"/>
    <x v="0"/>
    <x v="8"/>
    <x v="1"/>
    <n v="6557"/>
    <n v="41433407.509999998"/>
    <n v="2.69"/>
    <n v="94.68"/>
    <n v="54.35"/>
    <n v="127.45"/>
    <n v="85.11"/>
    <x v="0"/>
  </r>
  <r>
    <x v="2"/>
    <x v="0"/>
    <x v="9"/>
    <x v="1"/>
    <n v="58334"/>
    <n v="67042799.399999999"/>
    <n v="6.02"/>
    <n v="90.08"/>
    <n v="10.35"/>
    <n v="102.66"/>
    <n v="60.11"/>
    <x v="4"/>
  </r>
  <r>
    <x v="2"/>
    <x v="0"/>
    <x v="10"/>
    <x v="1"/>
    <n v="42025"/>
    <n v="46339655.030000001"/>
    <n v="4.66"/>
    <n v="82.85"/>
    <n v="36.11"/>
    <n v="176.96"/>
    <n v="71.11"/>
    <x v="3"/>
  </r>
  <r>
    <x v="2"/>
    <x v="0"/>
    <x v="11"/>
    <x v="1"/>
    <n v="8612"/>
    <n v="30287874.850000001"/>
    <n v="3.62"/>
    <n v="54.88"/>
    <n v="52.25"/>
    <n v="288.87"/>
    <n v="72.55"/>
    <x v="0"/>
  </r>
  <r>
    <x v="2"/>
    <x v="0"/>
    <x v="12"/>
    <x v="1"/>
    <n v="33689"/>
    <n v="37582037.579999998"/>
    <n v="6.06"/>
    <n v="97.44"/>
    <n v="25.59"/>
    <n v="133.77000000000001"/>
    <n v="92.93"/>
    <x v="4"/>
  </r>
  <r>
    <x v="2"/>
    <x v="0"/>
    <x v="13"/>
    <x v="1"/>
    <n v="60093"/>
    <n v="79592293.1639999"/>
    <n v="3.24"/>
    <n v="68.56"/>
    <n v="48.17"/>
    <n v="130.83000000000001"/>
    <n v="75.69"/>
    <x v="1"/>
  </r>
  <r>
    <x v="2"/>
    <x v="0"/>
    <x v="14"/>
    <x v="1"/>
    <n v="50612"/>
    <n v="24547804.329999998"/>
    <n v="4.38"/>
    <n v="76.13"/>
    <n v="16.43"/>
    <n v="58.21"/>
    <n v="60.85"/>
    <x v="0"/>
  </r>
  <r>
    <x v="2"/>
    <x v="1"/>
    <x v="0"/>
    <x v="0"/>
    <n v="33392"/>
    <n v="40200175.950000003"/>
    <n v="-0.14000000000000001"/>
    <n v="69.319999999999993"/>
    <n v="24.76"/>
    <n v="255.14"/>
    <n v="39.33"/>
    <x v="3"/>
  </r>
  <r>
    <x v="2"/>
    <x v="1"/>
    <x v="1"/>
    <x v="0"/>
    <n v="20351"/>
    <n v="10720475.02"/>
    <n v="3.45"/>
    <n v="77.709999999999994"/>
    <n v="3.3"/>
    <n v="285.13"/>
    <n v="73.56"/>
    <x v="3"/>
  </r>
  <r>
    <x v="2"/>
    <x v="1"/>
    <x v="2"/>
    <x v="0"/>
    <n v="9689"/>
    <n v="18237818.16"/>
    <n v="-0.39"/>
    <n v="45.74"/>
    <n v="39.58"/>
    <n v="291.06"/>
    <n v="65.819999999999993"/>
    <x v="3"/>
  </r>
  <r>
    <x v="2"/>
    <x v="1"/>
    <x v="3"/>
    <x v="0"/>
    <n v="19360"/>
    <n v="21067765.940000001"/>
    <n v="0.71"/>
    <n v="72.25"/>
    <n v="24.64"/>
    <n v="119.68"/>
    <n v="71.099999999999994"/>
    <x v="1"/>
  </r>
  <r>
    <x v="2"/>
    <x v="1"/>
    <x v="4"/>
    <x v="0"/>
    <n v="41937"/>
    <n v="10442280.66"/>
    <n v="-0.2"/>
    <n v="67"/>
    <n v="23.33"/>
    <n v="106.63"/>
    <n v="42.6"/>
    <x v="0"/>
  </r>
  <r>
    <x v="2"/>
    <x v="1"/>
    <x v="5"/>
    <x v="1"/>
    <n v="26634"/>
    <n v="17977115.149999999"/>
    <n v="2.97"/>
    <n v="45.93"/>
    <n v="52.08"/>
    <n v="238.86"/>
    <n v="74.08"/>
    <x v="2"/>
  </r>
  <r>
    <x v="2"/>
    <x v="1"/>
    <x v="6"/>
    <x v="1"/>
    <n v="36653"/>
    <n v="38555751.189999998"/>
    <n v="4.34"/>
    <n v="88.65"/>
    <n v="27.12"/>
    <n v="280.3"/>
    <n v="66"/>
    <x v="2"/>
  </r>
  <r>
    <x v="2"/>
    <x v="1"/>
    <x v="7"/>
    <x v="1"/>
    <n v="61958"/>
    <n v="56094433.859999903"/>
    <n v="4.58"/>
    <n v="59.36"/>
    <n v="24.48"/>
    <n v="62.63"/>
    <n v="92.83"/>
    <x v="0"/>
  </r>
  <r>
    <x v="2"/>
    <x v="1"/>
    <x v="8"/>
    <x v="1"/>
    <n v="6501"/>
    <n v="38321092.719999999"/>
    <n v="5.2799999999999896"/>
    <n v="74.459999999999994"/>
    <n v="32.11"/>
    <n v="93.6"/>
    <n v="93.25"/>
    <x v="1"/>
  </r>
  <r>
    <x v="2"/>
    <x v="1"/>
    <x v="9"/>
    <x v="1"/>
    <n v="31267"/>
    <n v="31015491.109999999"/>
    <n v="3.11"/>
    <n v="75.22"/>
    <n v="36.29"/>
    <n v="75.66"/>
    <n v="48.08"/>
    <x v="4"/>
  </r>
  <r>
    <x v="2"/>
    <x v="1"/>
    <x v="10"/>
    <x v="1"/>
    <n v="27446"/>
    <n v="66537700.595999897"/>
    <n v="5.89"/>
    <n v="93.07"/>
    <n v="25.38"/>
    <n v="199.61"/>
    <n v="89.51"/>
    <x v="3"/>
  </r>
  <r>
    <x v="2"/>
    <x v="1"/>
    <x v="11"/>
    <x v="1"/>
    <n v="60479"/>
    <n v="80946999.2519999"/>
    <n v="4.3599999999999897"/>
    <n v="41.23"/>
    <n v="45.34"/>
    <n v="215.46"/>
    <n v="49.82"/>
    <x v="1"/>
  </r>
  <r>
    <x v="2"/>
    <x v="1"/>
    <x v="12"/>
    <x v="1"/>
    <n v="33576"/>
    <n v="15758344.550000001"/>
    <n v="6.65"/>
    <n v="73.37"/>
    <n v="14.85"/>
    <n v="69.650000000000006"/>
    <n v="58.52"/>
    <x v="4"/>
  </r>
  <r>
    <x v="2"/>
    <x v="1"/>
    <x v="13"/>
    <x v="1"/>
    <n v="53719"/>
    <n v="32766472.260000002"/>
    <n v="2.82"/>
    <n v="96.44"/>
    <n v="40.479999999999997"/>
    <n v="160.44999999999999"/>
    <n v="71.77"/>
    <x v="1"/>
  </r>
  <r>
    <x v="2"/>
    <x v="1"/>
    <x v="14"/>
    <x v="1"/>
    <n v="34710"/>
    <n v="17998844.949999999"/>
    <n v="5.2799999999999896"/>
    <n v="61.27"/>
    <n v="11.75"/>
    <n v="237.56"/>
    <n v="76.8"/>
    <x v="2"/>
  </r>
  <r>
    <x v="2"/>
    <x v="2"/>
    <x v="0"/>
    <x v="0"/>
    <n v="39031"/>
    <n v="18608941.010000002"/>
    <n v="3.81"/>
    <n v="33.54"/>
    <n v="15.3"/>
    <n v="107.98"/>
    <n v="58.3"/>
    <x v="0"/>
  </r>
  <r>
    <x v="2"/>
    <x v="2"/>
    <x v="1"/>
    <x v="0"/>
    <n v="34903"/>
    <n v="18518248.489999998"/>
    <n v="2.0499999999999998"/>
    <n v="53.32"/>
    <n v="5.41"/>
    <n v="217.97"/>
    <n v="54.81"/>
    <x v="4"/>
  </r>
  <r>
    <x v="2"/>
    <x v="2"/>
    <x v="2"/>
    <x v="0"/>
    <n v="35996"/>
    <n v="23537405.350000001"/>
    <n v="3.53"/>
    <n v="37.57"/>
    <n v="31.68"/>
    <n v="291.12"/>
    <n v="85.21"/>
    <x v="1"/>
  </r>
  <r>
    <x v="2"/>
    <x v="2"/>
    <x v="3"/>
    <x v="0"/>
    <n v="42820"/>
    <n v="29532856.460000001"/>
    <n v="-0.47"/>
    <n v="68.239999999999995"/>
    <n v="19.11"/>
    <n v="188.16"/>
    <n v="46.5"/>
    <x v="1"/>
  </r>
  <r>
    <x v="2"/>
    <x v="2"/>
    <x v="4"/>
    <x v="0"/>
    <n v="28881"/>
    <n v="21441364.649999999"/>
    <n v="0.65999999999999903"/>
    <n v="41.69"/>
    <n v="44.53"/>
    <n v="269.38"/>
    <n v="59.06"/>
    <x v="2"/>
  </r>
  <r>
    <x v="2"/>
    <x v="2"/>
    <x v="5"/>
    <x v="1"/>
    <n v="55419"/>
    <n v="10737537.960000001"/>
    <n v="2.59"/>
    <n v="68.8"/>
    <n v="35.979999999999997"/>
    <n v="196.85"/>
    <n v="72.959999999999994"/>
    <x v="2"/>
  </r>
  <r>
    <x v="2"/>
    <x v="2"/>
    <x v="6"/>
    <x v="1"/>
    <n v="7872"/>
    <n v="5221237.3320000004"/>
    <n v="4.1099999999999897"/>
    <n v="54.57"/>
    <n v="44.85"/>
    <n v="202.32"/>
    <n v="88.65"/>
    <x v="4"/>
  </r>
  <r>
    <x v="2"/>
    <x v="2"/>
    <x v="7"/>
    <x v="1"/>
    <n v="24758"/>
    <n v="51101597.950000003"/>
    <n v="4.72"/>
    <n v="98.62"/>
    <n v="35.629999999999903"/>
    <n v="259.73"/>
    <n v="81.14"/>
    <x v="2"/>
  </r>
  <r>
    <x v="2"/>
    <x v="2"/>
    <x v="8"/>
    <x v="1"/>
    <n v="50384"/>
    <n v="16798329.649999999"/>
    <n v="4.3599999999999897"/>
    <n v="89.43"/>
    <n v="51.51"/>
    <n v="132.01"/>
    <n v="80.989999999999995"/>
    <x v="0"/>
  </r>
  <r>
    <x v="2"/>
    <x v="2"/>
    <x v="9"/>
    <x v="1"/>
    <n v="8281"/>
    <n v="15827206.449999999"/>
    <n v="2.87"/>
    <n v="97.24"/>
    <n v="49.02"/>
    <n v="297.81"/>
    <n v="77.33"/>
    <x v="3"/>
  </r>
  <r>
    <x v="2"/>
    <x v="2"/>
    <x v="10"/>
    <x v="1"/>
    <n v="54330"/>
    <n v="37269680.390000001"/>
    <n v="6.02"/>
    <n v="48.4"/>
    <n v="15.34"/>
    <n v="212.64"/>
    <n v="88.87"/>
    <x v="2"/>
  </r>
  <r>
    <x v="2"/>
    <x v="2"/>
    <x v="11"/>
    <x v="1"/>
    <n v="32683"/>
    <n v="17951923.895999901"/>
    <n v="4.8599999999999897"/>
    <n v="53.85"/>
    <n v="21.86"/>
    <n v="99.2"/>
    <n v="71.55"/>
    <x v="4"/>
  </r>
  <r>
    <x v="2"/>
    <x v="2"/>
    <x v="12"/>
    <x v="1"/>
    <n v="58052"/>
    <n v="45303231.340000004"/>
    <n v="5.93"/>
    <n v="82.65"/>
    <n v="33.54"/>
    <n v="271.18"/>
    <n v="90.26"/>
    <x v="0"/>
  </r>
  <r>
    <x v="2"/>
    <x v="2"/>
    <x v="13"/>
    <x v="1"/>
    <n v="28022"/>
    <n v="33044277.48"/>
    <n v="3.7"/>
    <n v="91.77"/>
    <n v="8.11"/>
    <n v="274.8"/>
    <n v="87"/>
    <x v="4"/>
  </r>
  <r>
    <x v="2"/>
    <x v="2"/>
    <x v="14"/>
    <x v="1"/>
    <n v="55987"/>
    <n v="5330566.68"/>
    <n v="2.81"/>
    <n v="47.52"/>
    <n v="46.97"/>
    <n v="166.12"/>
    <n v="82.49"/>
    <x v="0"/>
  </r>
  <r>
    <x v="2"/>
    <x v="3"/>
    <x v="0"/>
    <x v="0"/>
    <n v="5309"/>
    <n v="30375439.559999999"/>
    <n v="-0.17"/>
    <n v="38.35"/>
    <n v="33.49"/>
    <n v="297.3"/>
    <n v="66.819999999999993"/>
    <x v="0"/>
  </r>
  <r>
    <x v="2"/>
    <x v="3"/>
    <x v="1"/>
    <x v="0"/>
    <n v="39415"/>
    <n v="15774523.4"/>
    <n v="3.44"/>
    <n v="72.400000000000006"/>
    <n v="38.090000000000003"/>
    <n v="242.8"/>
    <n v="86.48"/>
    <x v="3"/>
  </r>
  <r>
    <x v="2"/>
    <x v="3"/>
    <x v="2"/>
    <x v="0"/>
    <n v="7734"/>
    <n v="10384187.42"/>
    <n v="2.4300000000000002"/>
    <n v="37.340000000000003"/>
    <n v="20.93"/>
    <n v="122.97"/>
    <n v="82.42"/>
    <x v="1"/>
  </r>
  <r>
    <x v="2"/>
    <x v="3"/>
    <x v="3"/>
    <x v="0"/>
    <n v="40180"/>
    <n v="8451472.2209999897"/>
    <n v="3.22"/>
    <n v="52.55"/>
    <n v="44.45"/>
    <n v="97.8"/>
    <n v="53.34"/>
    <x v="4"/>
  </r>
  <r>
    <x v="2"/>
    <x v="3"/>
    <x v="4"/>
    <x v="0"/>
    <n v="39509"/>
    <n v="57709591.710000001"/>
    <n v="0.439999999999999"/>
    <n v="52.43"/>
    <n v="9.26"/>
    <n v="214.47"/>
    <n v="84.68"/>
    <x v="2"/>
  </r>
  <r>
    <x v="2"/>
    <x v="3"/>
    <x v="5"/>
    <x v="1"/>
    <n v="7653"/>
    <n v="25848407.75"/>
    <n v="6.33"/>
    <n v="66.02"/>
    <n v="9.81"/>
    <n v="183.48"/>
    <n v="54.28"/>
    <x v="2"/>
  </r>
  <r>
    <x v="2"/>
    <x v="3"/>
    <x v="6"/>
    <x v="1"/>
    <n v="10112"/>
    <n v="41338291.909999996"/>
    <n v="3.44"/>
    <n v="40.869999999999997"/>
    <n v="37.22"/>
    <n v="93.6"/>
    <n v="72.67"/>
    <x v="0"/>
  </r>
  <r>
    <x v="2"/>
    <x v="3"/>
    <x v="7"/>
    <x v="1"/>
    <n v="63494"/>
    <n v="10304716.720000001"/>
    <n v="3.98"/>
    <n v="74.63"/>
    <n v="53.48"/>
    <n v="296.12"/>
    <n v="93.14"/>
    <x v="3"/>
  </r>
  <r>
    <x v="2"/>
    <x v="3"/>
    <x v="8"/>
    <x v="1"/>
    <n v="40197"/>
    <n v="47733241.810000002"/>
    <n v="4.21"/>
    <n v="63.71"/>
    <n v="37.93"/>
    <n v="70.52"/>
    <n v="74.59"/>
    <x v="4"/>
  </r>
  <r>
    <x v="2"/>
    <x v="3"/>
    <x v="9"/>
    <x v="1"/>
    <n v="28000"/>
    <n v="39976458.880000003"/>
    <n v="6.67"/>
    <n v="56.79"/>
    <n v="11.35"/>
    <n v="240.77"/>
    <n v="51.48"/>
    <x v="0"/>
  </r>
  <r>
    <x v="2"/>
    <x v="3"/>
    <x v="10"/>
    <x v="1"/>
    <n v="30537"/>
    <n v="33782555.279999897"/>
    <n v="6.26"/>
    <n v="48.75"/>
    <n v="15.75"/>
    <n v="162.28"/>
    <n v="64.739999999999995"/>
    <x v="1"/>
  </r>
  <r>
    <x v="2"/>
    <x v="3"/>
    <x v="11"/>
    <x v="1"/>
    <n v="16890"/>
    <n v="10789418.339999899"/>
    <n v="3.36"/>
    <n v="73.7"/>
    <n v="27.02"/>
    <n v="202.39"/>
    <n v="52.08"/>
    <x v="4"/>
  </r>
  <r>
    <x v="2"/>
    <x v="3"/>
    <x v="12"/>
    <x v="1"/>
    <n v="50895"/>
    <n v="58673135.229999997"/>
    <n v="5.33"/>
    <n v="57.73"/>
    <n v="31.67"/>
    <n v="226.07"/>
    <n v="94.36"/>
    <x v="0"/>
  </r>
  <r>
    <x v="2"/>
    <x v="3"/>
    <x v="13"/>
    <x v="1"/>
    <n v="14293"/>
    <n v="84264943.840000004"/>
    <n v="3.84"/>
    <n v="95.98"/>
    <n v="19.39"/>
    <n v="139.82"/>
    <n v="81.790000000000006"/>
    <x v="0"/>
  </r>
  <r>
    <x v="2"/>
    <x v="3"/>
    <x v="14"/>
    <x v="1"/>
    <n v="18172"/>
    <n v="7206944.6519999998"/>
    <n v="5.16"/>
    <n v="68.44"/>
    <n v="22.27"/>
    <n v="184.61"/>
    <n v="68.86"/>
    <x v="4"/>
  </r>
  <r>
    <x v="2"/>
    <x v="3"/>
    <x v="1"/>
    <x v="0"/>
    <n v="39415"/>
    <n v="15774523.4"/>
    <n v="3.44"/>
    <n v="72.400000000000006"/>
    <n v="38.090000000000003"/>
    <n v="242.8"/>
    <n v="86.48"/>
    <x v="3"/>
  </r>
  <r>
    <x v="2"/>
    <x v="0"/>
    <x v="0"/>
    <x v="0"/>
    <n v="44456"/>
    <n v="14331275.99"/>
    <n v="0.64999999999999902"/>
    <n v="61.11"/>
    <n v="40.369999999999997"/>
    <n v="129.5"/>
    <n v="66.930000000000007"/>
    <x v="3"/>
  </r>
  <r>
    <x v="2"/>
    <x v="1"/>
    <x v="10"/>
    <x v="1"/>
    <n v="27446"/>
    <n v="66537700.595999897"/>
    <n v="5.89"/>
    <n v="93.07"/>
    <n v="25.38"/>
    <n v="199.61"/>
    <n v="89.51"/>
    <x v="3"/>
  </r>
  <r>
    <x v="2"/>
    <x v="3"/>
    <x v="10"/>
    <x v="1"/>
    <n v="30537"/>
    <n v="33782555.279999897"/>
    <n v="6.26"/>
    <n v="48.75"/>
    <n v="15.75"/>
    <n v="162.28"/>
    <n v="64.739999999999995"/>
    <x v="1"/>
  </r>
  <r>
    <x v="2"/>
    <x v="2"/>
    <x v="7"/>
    <x v="1"/>
    <n v="24758"/>
    <n v="51101597.950000003"/>
    <n v="4.72"/>
    <n v="98.62"/>
    <n v="35.629999999999903"/>
    <n v="259.73"/>
    <n v="81.14"/>
    <x v="2"/>
  </r>
  <r>
    <x v="2"/>
    <x v="1"/>
    <x v="5"/>
    <x v="1"/>
    <n v="26634"/>
    <n v="17977115.149999999"/>
    <n v="2.97"/>
    <n v="45.93"/>
    <n v="52.08"/>
    <n v="238.86"/>
    <n v="74.08"/>
    <x v="2"/>
  </r>
  <r>
    <x v="2"/>
    <x v="1"/>
    <x v="9"/>
    <x v="1"/>
    <n v="31267"/>
    <n v="31015491.109999999"/>
    <n v="3.11"/>
    <n v="75.22"/>
    <n v="36.29"/>
    <n v="75.66"/>
    <n v="48.08"/>
    <x v="4"/>
  </r>
  <r>
    <x v="2"/>
    <x v="1"/>
    <x v="3"/>
    <x v="0"/>
    <n v="19360"/>
    <n v="21067765.940000001"/>
    <n v="0.71"/>
    <n v="72.25"/>
    <n v="24.64"/>
    <n v="119.68"/>
    <n v="71.099999999999994"/>
    <x v="1"/>
  </r>
  <r>
    <x v="2"/>
    <x v="1"/>
    <x v="9"/>
    <x v="1"/>
    <n v="31267"/>
    <n v="31015491.109999999"/>
    <n v="3.11"/>
    <n v="75.22"/>
    <n v="36.29"/>
    <n v="75.66"/>
    <n v="48.08"/>
    <x v="4"/>
  </r>
  <r>
    <x v="2"/>
    <x v="2"/>
    <x v="0"/>
    <x v="0"/>
    <n v="39031"/>
    <n v="18608941.010000002"/>
    <n v="3.81"/>
    <n v="33.54"/>
    <n v="15.3"/>
    <n v="107.98"/>
    <n v="58.3"/>
    <x v="0"/>
  </r>
  <r>
    <x v="2"/>
    <x v="0"/>
    <x v="13"/>
    <x v="1"/>
    <n v="60093"/>
    <n v="79592293.1639999"/>
    <n v="3.24"/>
    <n v="68.56"/>
    <n v="48.17"/>
    <n v="130.83000000000001"/>
    <n v="75.69"/>
    <x v="1"/>
  </r>
  <r>
    <x v="2"/>
    <x v="0"/>
    <x v="6"/>
    <x v="1"/>
    <n v="57898"/>
    <n v="19848318.309999999"/>
    <n v="4.43"/>
    <n v="45.27"/>
    <n v="23.12"/>
    <n v="277.64999999999998"/>
    <n v="55.07"/>
    <x v="1"/>
  </r>
  <r>
    <x v="2"/>
    <x v="2"/>
    <x v="3"/>
    <x v="0"/>
    <n v="42820"/>
    <n v="29532856.460000001"/>
    <n v="-0.47"/>
    <n v="68.239999999999995"/>
    <n v="19.11"/>
    <n v="188.16"/>
    <n v="46.5"/>
    <x v="1"/>
  </r>
  <r>
    <x v="2"/>
    <x v="1"/>
    <x v="0"/>
    <x v="0"/>
    <n v="33392"/>
    <n v="40200175.950000003"/>
    <n v="-0.14000000000000001"/>
    <n v="69.319999999999993"/>
    <n v="24.76"/>
    <n v="255.14"/>
    <n v="39.33"/>
    <x v="3"/>
  </r>
  <r>
    <x v="2"/>
    <x v="0"/>
    <x v="1"/>
    <x v="0"/>
    <n v="6548"/>
    <n v="54168172.520000003"/>
    <n v="2.64"/>
    <n v="63.01"/>
    <n v="17.850000000000001"/>
    <n v="279.58"/>
    <n v="73.97"/>
    <x v="4"/>
  </r>
  <r>
    <x v="2"/>
    <x v="1"/>
    <x v="14"/>
    <x v="1"/>
    <n v="34710"/>
    <n v="17998844.949999999"/>
    <n v="5.2799999999999896"/>
    <n v="61.27"/>
    <n v="11.75"/>
    <n v="237.56"/>
    <n v="76.8"/>
    <x v="2"/>
  </r>
  <r>
    <x v="2"/>
    <x v="1"/>
    <x v="6"/>
    <x v="1"/>
    <n v="36653"/>
    <n v="38555751.189999998"/>
    <n v="4.34"/>
    <n v="88.65"/>
    <n v="27.12"/>
    <n v="280.3"/>
    <n v="66"/>
    <x v="2"/>
  </r>
  <r>
    <x v="2"/>
    <x v="0"/>
    <x v="4"/>
    <x v="0"/>
    <n v="34090"/>
    <n v="7777936.3679999998"/>
    <n v="3.54"/>
    <n v="71.27"/>
    <n v="41.68"/>
    <n v="171.59"/>
    <n v="50.17"/>
    <x v="2"/>
  </r>
  <r>
    <x v="2"/>
    <x v="1"/>
    <x v="4"/>
    <x v="0"/>
    <n v="41937"/>
    <n v="10442280.66"/>
    <n v="-0.2"/>
    <n v="67"/>
    <n v="23.33"/>
    <n v="106.63"/>
    <n v="42.6"/>
    <x v="0"/>
  </r>
  <r>
    <x v="2"/>
    <x v="3"/>
    <x v="5"/>
    <x v="1"/>
    <n v="7653"/>
    <n v="25848407.75"/>
    <n v="6.33"/>
    <n v="66.02"/>
    <n v="9.81"/>
    <n v="183.48"/>
    <n v="54.28"/>
    <x v="2"/>
  </r>
  <r>
    <x v="2"/>
    <x v="1"/>
    <x v="12"/>
    <x v="1"/>
    <n v="33576"/>
    <n v="15758344.550000001"/>
    <n v="6.65"/>
    <n v="73.37"/>
    <n v="14.85"/>
    <n v="69.650000000000006"/>
    <n v="58.52"/>
    <x v="4"/>
  </r>
  <r>
    <x v="2"/>
    <x v="2"/>
    <x v="1"/>
    <x v="0"/>
    <n v="34903"/>
    <n v="18518248.489999998"/>
    <n v="2.0499999999999998"/>
    <n v="53.32"/>
    <n v="5.41"/>
    <n v="217.97"/>
    <n v="54.81"/>
    <x v="4"/>
  </r>
  <r>
    <x v="2"/>
    <x v="0"/>
    <x v="3"/>
    <x v="0"/>
    <n v="36476"/>
    <n v="9769649.4360000007"/>
    <n v="0.39999999999999902"/>
    <n v="67.05"/>
    <n v="29.96"/>
    <n v="138.12"/>
    <n v="52.54"/>
    <x v="4"/>
  </r>
  <r>
    <x v="2"/>
    <x v="2"/>
    <x v="8"/>
    <x v="1"/>
    <n v="50384"/>
    <n v="16798329.649999999"/>
    <n v="4.3599999999999897"/>
    <n v="89.43"/>
    <n v="51.51"/>
    <n v="132.01"/>
    <n v="80.989999999999995"/>
    <x v="0"/>
  </r>
  <r>
    <x v="2"/>
    <x v="1"/>
    <x v="12"/>
    <x v="1"/>
    <n v="33576"/>
    <n v="15758344.550000001"/>
    <n v="6.65"/>
    <n v="73.37"/>
    <n v="14.85"/>
    <n v="69.650000000000006"/>
    <n v="58.52"/>
    <x v="4"/>
  </r>
  <r>
    <x v="2"/>
    <x v="1"/>
    <x v="12"/>
    <x v="1"/>
    <n v="33576"/>
    <n v="15758344.550000001"/>
    <n v="6.65"/>
    <n v="73.37"/>
    <n v="14.85"/>
    <n v="69.650000000000006"/>
    <n v="58.52"/>
    <x v="4"/>
  </r>
  <r>
    <x v="2"/>
    <x v="2"/>
    <x v="10"/>
    <x v="1"/>
    <n v="54330"/>
    <n v="37269680.390000001"/>
    <n v="6.02"/>
    <n v="48.4"/>
    <n v="15.34"/>
    <n v="212.64"/>
    <n v="88.87"/>
    <x v="2"/>
  </r>
  <r>
    <x v="2"/>
    <x v="1"/>
    <x v="11"/>
    <x v="1"/>
    <n v="60479"/>
    <n v="80946999.2519999"/>
    <n v="4.3599999999999897"/>
    <n v="41.23"/>
    <n v="45.34"/>
    <n v="215.46"/>
    <n v="49.82"/>
    <x v="1"/>
  </r>
  <r>
    <x v="2"/>
    <x v="3"/>
    <x v="8"/>
    <x v="1"/>
    <n v="40197"/>
    <n v="47733241.810000002"/>
    <n v="4.21"/>
    <n v="63.71"/>
    <n v="37.93"/>
    <n v="70.52"/>
    <n v="74.59"/>
    <x v="4"/>
  </r>
  <r>
    <x v="2"/>
    <x v="2"/>
    <x v="0"/>
    <x v="0"/>
    <n v="39031"/>
    <n v="18608941.010000002"/>
    <n v="3.81"/>
    <n v="33.54"/>
    <n v="15.3"/>
    <n v="107.98"/>
    <n v="58.3"/>
    <x v="0"/>
  </r>
  <r>
    <x v="2"/>
    <x v="0"/>
    <x v="3"/>
    <x v="0"/>
    <n v="36476"/>
    <n v="9769649.4360000007"/>
    <n v="0.39999999999999902"/>
    <n v="67.05"/>
    <n v="29.96"/>
    <n v="138.12"/>
    <n v="52.54"/>
    <x v="4"/>
  </r>
  <r>
    <x v="2"/>
    <x v="0"/>
    <x v="3"/>
    <x v="0"/>
    <n v="36476"/>
    <n v="9769649.4360000007"/>
    <n v="0.39999999999999902"/>
    <n v="67.05"/>
    <n v="29.96"/>
    <n v="138.12"/>
    <n v="52.54"/>
    <x v="4"/>
  </r>
  <r>
    <x v="2"/>
    <x v="0"/>
    <x v="4"/>
    <x v="0"/>
    <n v="34090"/>
    <n v="7777936.3679999998"/>
    <n v="3.54"/>
    <n v="71.27"/>
    <n v="41.68"/>
    <n v="171.59"/>
    <n v="50.17"/>
    <x v="2"/>
  </r>
  <r>
    <x v="2"/>
    <x v="3"/>
    <x v="10"/>
    <x v="1"/>
    <n v="30537"/>
    <n v="33782555.279999897"/>
    <n v="6.26"/>
    <n v="48.75"/>
    <n v="15.75"/>
    <n v="162.28"/>
    <n v="64.739999999999995"/>
    <x v="1"/>
  </r>
  <r>
    <x v="2"/>
    <x v="2"/>
    <x v="10"/>
    <x v="1"/>
    <n v="54330"/>
    <n v="37269680.390000001"/>
    <n v="6.02"/>
    <n v="48.4"/>
    <n v="15.34"/>
    <n v="212.64"/>
    <n v="88.87"/>
    <x v="2"/>
  </r>
  <r>
    <x v="2"/>
    <x v="3"/>
    <x v="11"/>
    <x v="1"/>
    <n v="16890"/>
    <n v="10789418.339999899"/>
    <n v="3.36"/>
    <n v="73.7"/>
    <n v="27.02"/>
    <n v="202.39"/>
    <n v="52.08"/>
    <x v="4"/>
  </r>
  <r>
    <x v="2"/>
    <x v="2"/>
    <x v="8"/>
    <x v="1"/>
    <n v="50384"/>
    <n v="16798329.649999999"/>
    <n v="4.3599999999999897"/>
    <n v="89.43"/>
    <n v="51.51"/>
    <n v="132.01"/>
    <n v="80.989999999999995"/>
    <x v="0"/>
  </r>
  <r>
    <x v="2"/>
    <x v="1"/>
    <x v="4"/>
    <x v="0"/>
    <n v="41937"/>
    <n v="10442280.66"/>
    <n v="-0.2"/>
    <n v="67"/>
    <n v="23.33"/>
    <n v="106.63"/>
    <n v="42.6"/>
    <x v="0"/>
  </r>
  <r>
    <x v="2"/>
    <x v="1"/>
    <x v="5"/>
    <x v="1"/>
    <n v="26634"/>
    <n v="17977115.149999999"/>
    <n v="2.97"/>
    <n v="45.93"/>
    <n v="52.08"/>
    <n v="238.86"/>
    <n v="74.08"/>
    <x v="2"/>
  </r>
  <r>
    <x v="2"/>
    <x v="3"/>
    <x v="12"/>
    <x v="1"/>
    <n v="50895"/>
    <n v="58673135.229999997"/>
    <n v="5.33"/>
    <n v="57.73"/>
    <n v="31.67"/>
    <n v="226.07"/>
    <n v="94.36"/>
    <x v="0"/>
  </r>
  <r>
    <x v="2"/>
    <x v="0"/>
    <x v="2"/>
    <x v="0"/>
    <n v="36129"/>
    <n v="28657040.440000001"/>
    <n v="0.49"/>
    <n v="60.6"/>
    <n v="1.5699999999999901"/>
    <n v="209.38"/>
    <n v="62.41"/>
    <x v="2"/>
  </r>
  <r>
    <x v="2"/>
    <x v="3"/>
    <x v="10"/>
    <x v="1"/>
    <n v="30537"/>
    <n v="33782555.279999897"/>
    <n v="6.26"/>
    <n v="48.75"/>
    <n v="15.75"/>
    <n v="162.28"/>
    <n v="64.739999999999995"/>
    <x v="1"/>
  </r>
  <r>
    <x v="2"/>
    <x v="1"/>
    <x v="0"/>
    <x v="0"/>
    <n v="33392"/>
    <n v="40200175.950000003"/>
    <n v="-0.14000000000000001"/>
    <n v="69.319999999999993"/>
    <n v="24.76"/>
    <n v="255.14"/>
    <n v="39.33"/>
    <x v="3"/>
  </r>
  <r>
    <x v="2"/>
    <x v="0"/>
    <x v="12"/>
    <x v="1"/>
    <n v="33689"/>
    <n v="37582037.579999998"/>
    <n v="6.06"/>
    <n v="97.44"/>
    <n v="25.59"/>
    <n v="133.77000000000001"/>
    <n v="92.93"/>
    <x v="4"/>
  </r>
  <r>
    <x v="2"/>
    <x v="0"/>
    <x v="10"/>
    <x v="1"/>
    <n v="42025"/>
    <n v="46339655.030000001"/>
    <n v="4.66"/>
    <n v="82.85"/>
    <n v="36.11"/>
    <n v="176.96"/>
    <n v="71.11"/>
    <x v="3"/>
  </r>
  <r>
    <x v="2"/>
    <x v="1"/>
    <x v="14"/>
    <x v="1"/>
    <n v="34710"/>
    <n v="17998844.949999999"/>
    <n v="5.2799999999999896"/>
    <n v="61.27"/>
    <n v="11.75"/>
    <n v="237.56"/>
    <n v="76.8"/>
    <x v="2"/>
  </r>
  <r>
    <x v="2"/>
    <x v="3"/>
    <x v="6"/>
    <x v="1"/>
    <n v="10112"/>
    <n v="41338291.909999996"/>
    <n v="3.44"/>
    <n v="40.869999999999997"/>
    <n v="37.22"/>
    <n v="93.6"/>
    <n v="72.67"/>
    <x v="0"/>
  </r>
  <r>
    <x v="2"/>
    <x v="2"/>
    <x v="0"/>
    <x v="0"/>
    <n v="39031"/>
    <n v="18608941.010000002"/>
    <n v="3.81"/>
    <n v="33.54"/>
    <n v="15.3"/>
    <n v="107.98"/>
    <n v="58.3"/>
    <x v="0"/>
  </r>
  <r>
    <x v="2"/>
    <x v="2"/>
    <x v="10"/>
    <x v="1"/>
    <n v="54330"/>
    <n v="37269680.390000001"/>
    <n v="6.02"/>
    <n v="48.4"/>
    <n v="15.34"/>
    <n v="212.64"/>
    <n v="88.87"/>
    <x v="2"/>
  </r>
  <r>
    <x v="2"/>
    <x v="3"/>
    <x v="4"/>
    <x v="0"/>
    <n v="39509"/>
    <n v="57709591.710000001"/>
    <n v="0.439999999999999"/>
    <n v="52.43"/>
    <n v="9.26"/>
    <n v="214.47"/>
    <n v="84.68"/>
    <x v="2"/>
  </r>
  <r>
    <x v="2"/>
    <x v="1"/>
    <x v="5"/>
    <x v="1"/>
    <n v="26634"/>
    <n v="17977115.149999999"/>
    <n v="2.97"/>
    <n v="45.93"/>
    <n v="52.08"/>
    <n v="238.86"/>
    <n v="74.08"/>
    <x v="2"/>
  </r>
  <r>
    <x v="3"/>
    <x v="0"/>
    <x v="0"/>
    <x v="0"/>
    <n v="23678"/>
    <n v="23302026.23"/>
    <n v="0.57999999999999996"/>
    <n v="45.61"/>
    <n v="43.79"/>
    <n v="156.56"/>
    <n v="72.06"/>
    <x v="4"/>
  </r>
  <r>
    <x v="3"/>
    <x v="0"/>
    <x v="1"/>
    <x v="0"/>
    <n v="24682"/>
    <n v="30388420.881000001"/>
    <n v="3.89"/>
    <n v="65.349999999999994"/>
    <n v="41.22"/>
    <n v="202.74"/>
    <n v="65.05"/>
    <x v="1"/>
  </r>
  <r>
    <x v="3"/>
    <x v="0"/>
    <x v="2"/>
    <x v="0"/>
    <n v="49869"/>
    <n v="25015561.710000001"/>
    <n v="-0.1"/>
    <n v="66.77"/>
    <n v="25.65"/>
    <n v="137.77000000000001"/>
    <n v="75.23"/>
    <x v="3"/>
  </r>
  <r>
    <x v="3"/>
    <x v="0"/>
    <x v="3"/>
    <x v="0"/>
    <n v="5718"/>
    <n v="47611430.590000004"/>
    <n v="3.4"/>
    <n v="60.4"/>
    <n v="15.37"/>
    <n v="128.61000000000001"/>
    <n v="41.67"/>
    <x v="3"/>
  </r>
  <r>
    <x v="3"/>
    <x v="0"/>
    <x v="4"/>
    <x v="0"/>
    <n v="35233"/>
    <n v="10414206.279999999"/>
    <n v="2.0099999999999998"/>
    <n v="84.7"/>
    <n v="12.7"/>
    <n v="92.35"/>
    <n v="51.97"/>
    <x v="3"/>
  </r>
  <r>
    <x v="3"/>
    <x v="0"/>
    <x v="5"/>
    <x v="1"/>
    <n v="41857"/>
    <n v="71129083.790000007"/>
    <n v="4.8599999999999897"/>
    <n v="73.91"/>
    <n v="45.53"/>
    <n v="173.38"/>
    <n v="53.59"/>
    <x v="4"/>
  </r>
  <r>
    <x v="3"/>
    <x v="0"/>
    <x v="6"/>
    <x v="1"/>
    <n v="33814"/>
    <n v="62983632.700000003"/>
    <n v="4.5599999999999996"/>
    <n v="57.41"/>
    <n v="21.53"/>
    <n v="170.67"/>
    <n v="72.61"/>
    <x v="4"/>
  </r>
  <r>
    <x v="3"/>
    <x v="0"/>
    <x v="7"/>
    <x v="1"/>
    <n v="35418"/>
    <n v="14482116.279999999"/>
    <n v="4.01"/>
    <n v="91.45"/>
    <n v="6.56"/>
    <n v="157.75"/>
    <n v="57.04"/>
    <x v="4"/>
  </r>
  <r>
    <x v="3"/>
    <x v="0"/>
    <x v="8"/>
    <x v="1"/>
    <n v="39933"/>
    <n v="18632947.100000001"/>
    <n v="2.56"/>
    <n v="91.48"/>
    <n v="41.08"/>
    <n v="272.72000000000003"/>
    <n v="57.82"/>
    <x v="4"/>
  </r>
  <r>
    <x v="3"/>
    <x v="0"/>
    <x v="9"/>
    <x v="1"/>
    <n v="6800"/>
    <n v="6213699.6119999997"/>
    <n v="6.1"/>
    <n v="52.04"/>
    <n v="54.21"/>
    <n v="81.93"/>
    <n v="52.88"/>
    <x v="2"/>
  </r>
  <r>
    <x v="3"/>
    <x v="0"/>
    <x v="10"/>
    <x v="1"/>
    <n v="6787"/>
    <n v="52571041.670000002"/>
    <n v="4.93"/>
    <n v="103.73"/>
    <n v="29.49"/>
    <n v="274.81"/>
    <n v="47.7"/>
    <x v="1"/>
  </r>
  <r>
    <x v="3"/>
    <x v="0"/>
    <x v="11"/>
    <x v="1"/>
    <n v="34677"/>
    <n v="15661456.58"/>
    <n v="6.11"/>
    <n v="101.07"/>
    <n v="48.06"/>
    <n v="165.76"/>
    <n v="55.31"/>
    <x v="1"/>
  </r>
  <r>
    <x v="3"/>
    <x v="0"/>
    <x v="12"/>
    <x v="1"/>
    <n v="27735"/>
    <n v="60038350.75"/>
    <n v="6.4"/>
    <n v="42.86"/>
    <n v="50.44"/>
    <n v="118.36"/>
    <n v="80.72"/>
    <x v="3"/>
  </r>
  <r>
    <x v="3"/>
    <x v="0"/>
    <x v="13"/>
    <x v="1"/>
    <n v="51810"/>
    <n v="14517045.839999899"/>
    <n v="5.73"/>
    <n v="51.7"/>
    <n v="7.3599999999999897"/>
    <n v="174.15"/>
    <n v="73.56"/>
    <x v="0"/>
  </r>
  <r>
    <x v="3"/>
    <x v="0"/>
    <x v="14"/>
    <x v="1"/>
    <n v="46166"/>
    <n v="19455487.420000002"/>
    <n v="4.54"/>
    <n v="59.94"/>
    <n v="13.25"/>
    <n v="195.16"/>
    <n v="74.459999999999994"/>
    <x v="1"/>
  </r>
  <r>
    <x v="3"/>
    <x v="1"/>
    <x v="0"/>
    <x v="0"/>
    <n v="47075"/>
    <n v="9011313.3599999994"/>
    <n v="3.15"/>
    <n v="87.8"/>
    <n v="23.96"/>
    <n v="79.959999999999994"/>
    <n v="66.239999999999995"/>
    <x v="1"/>
  </r>
  <r>
    <x v="3"/>
    <x v="1"/>
    <x v="1"/>
    <x v="0"/>
    <n v="5465"/>
    <n v="14185149.880000001"/>
    <n v="1.97"/>
    <n v="73.540000000000006"/>
    <n v="45.99"/>
    <n v="292.18"/>
    <n v="37.14"/>
    <x v="3"/>
  </r>
  <r>
    <x v="3"/>
    <x v="1"/>
    <x v="2"/>
    <x v="0"/>
    <n v="22036"/>
    <n v="14156370.640000001"/>
    <n v="2.12"/>
    <n v="60.31"/>
    <n v="-0.89"/>
    <n v="298.7"/>
    <n v="43.46"/>
    <x v="0"/>
  </r>
  <r>
    <x v="3"/>
    <x v="1"/>
    <x v="3"/>
    <x v="0"/>
    <n v="31388"/>
    <n v="15148576.49"/>
    <n v="3.44"/>
    <n v="67"/>
    <n v="45.8"/>
    <n v="92.32"/>
    <n v="39.57"/>
    <x v="4"/>
  </r>
  <r>
    <x v="3"/>
    <x v="1"/>
    <x v="4"/>
    <x v="0"/>
    <n v="33806"/>
    <n v="23699378.708999999"/>
    <n v="-0.23"/>
    <n v="77.31"/>
    <n v="47.51"/>
    <n v="129.69999999999999"/>
    <n v="78.41"/>
    <x v="3"/>
  </r>
  <r>
    <x v="3"/>
    <x v="1"/>
    <x v="5"/>
    <x v="1"/>
    <n v="46798"/>
    <n v="34010964.590000004"/>
    <n v="2.84"/>
    <n v="95.15"/>
    <n v="47.23"/>
    <n v="287.88"/>
    <n v="87.65"/>
    <x v="2"/>
  </r>
  <r>
    <x v="3"/>
    <x v="1"/>
    <x v="6"/>
    <x v="1"/>
    <n v="15007"/>
    <n v="56176071.659999996"/>
    <n v="6.81"/>
    <n v="83.96"/>
    <n v="44.71"/>
    <n v="258.98"/>
    <n v="59.6"/>
    <x v="1"/>
  </r>
  <r>
    <x v="3"/>
    <x v="1"/>
    <x v="7"/>
    <x v="1"/>
    <n v="10585"/>
    <n v="29685804.23"/>
    <n v="3.51"/>
    <n v="93.42"/>
    <n v="38.630000000000003"/>
    <n v="171.64"/>
    <n v="87.93"/>
    <x v="4"/>
  </r>
  <r>
    <x v="3"/>
    <x v="1"/>
    <x v="8"/>
    <x v="1"/>
    <n v="10415"/>
    <n v="16056993.77"/>
    <n v="2.85"/>
    <n v="87.84"/>
    <n v="42.48"/>
    <n v="160.24"/>
    <n v="51.79"/>
    <x v="0"/>
  </r>
  <r>
    <x v="3"/>
    <x v="1"/>
    <x v="9"/>
    <x v="1"/>
    <n v="54159"/>
    <n v="43416974.450000003"/>
    <n v="5.91"/>
    <n v="101.8"/>
    <n v="45.27"/>
    <n v="232.71"/>
    <n v="51.01"/>
    <x v="1"/>
  </r>
  <r>
    <x v="3"/>
    <x v="1"/>
    <x v="10"/>
    <x v="1"/>
    <n v="17217"/>
    <n v="31929959.75"/>
    <n v="3.68"/>
    <n v="41.36"/>
    <n v="32"/>
    <n v="291.72000000000003"/>
    <n v="45.78"/>
    <x v="2"/>
  </r>
  <r>
    <x v="3"/>
    <x v="1"/>
    <x v="11"/>
    <x v="1"/>
    <n v="53719"/>
    <n v="15328592.42"/>
    <n v="3.88"/>
    <n v="79.25"/>
    <n v="36.07"/>
    <n v="286.49"/>
    <n v="48.06"/>
    <x v="3"/>
  </r>
  <r>
    <x v="3"/>
    <x v="1"/>
    <x v="12"/>
    <x v="1"/>
    <n v="58156"/>
    <n v="45419753.700000003"/>
    <n v="4.2799999999999896"/>
    <n v="88.11"/>
    <n v="44.95"/>
    <n v="232.59"/>
    <n v="86.74"/>
    <x v="2"/>
  </r>
  <r>
    <x v="3"/>
    <x v="1"/>
    <x v="13"/>
    <x v="1"/>
    <n v="33117"/>
    <n v="5432435.60399999"/>
    <n v="6.58"/>
    <n v="83.47"/>
    <n v="38.520000000000003"/>
    <n v="282.72000000000003"/>
    <n v="86.09"/>
    <x v="0"/>
  </r>
  <r>
    <x v="3"/>
    <x v="1"/>
    <x v="14"/>
    <x v="1"/>
    <n v="24948"/>
    <n v="7564107.5760000004"/>
    <n v="3.51"/>
    <n v="89.68"/>
    <n v="53.4"/>
    <n v="284.12"/>
    <n v="72.56"/>
    <x v="1"/>
  </r>
  <r>
    <x v="3"/>
    <x v="2"/>
    <x v="0"/>
    <x v="0"/>
    <n v="10671"/>
    <n v="9842035.3650000002"/>
    <n v="0.25"/>
    <n v="50.83"/>
    <n v="26.94"/>
    <n v="249.36"/>
    <n v="77.13"/>
    <x v="0"/>
  </r>
  <r>
    <x v="3"/>
    <x v="2"/>
    <x v="1"/>
    <x v="0"/>
    <n v="27006"/>
    <n v="5136019.5420000004"/>
    <n v="0.36"/>
    <n v="70.180000000000007"/>
    <n v="-0.05"/>
    <n v="179.88"/>
    <n v="63.62"/>
    <x v="2"/>
  </r>
  <r>
    <x v="3"/>
    <x v="2"/>
    <x v="2"/>
    <x v="0"/>
    <n v="35658"/>
    <n v="14607494.42"/>
    <n v="1.18"/>
    <n v="33.54"/>
    <n v="9.9600000000000009"/>
    <n v="232.38"/>
    <n v="66.959999999999994"/>
    <x v="0"/>
  </r>
  <r>
    <x v="3"/>
    <x v="2"/>
    <x v="3"/>
    <x v="0"/>
    <n v="8330"/>
    <n v="26191927.649999999"/>
    <n v="4"/>
    <n v="73.87"/>
    <n v="24.35"/>
    <n v="169.49"/>
    <n v="53.29"/>
    <x v="3"/>
  </r>
  <r>
    <x v="3"/>
    <x v="2"/>
    <x v="4"/>
    <x v="0"/>
    <n v="32243"/>
    <n v="28519800.440000001"/>
    <n v="0.12999999999999901"/>
    <n v="27.27"/>
    <n v="22.56"/>
    <n v="82.24"/>
    <n v="53.9"/>
    <x v="3"/>
  </r>
  <r>
    <x v="3"/>
    <x v="2"/>
    <x v="5"/>
    <x v="1"/>
    <n v="49871"/>
    <n v="8902985.2439999897"/>
    <n v="6.82"/>
    <n v="48.95"/>
    <n v="18.68"/>
    <n v="240.7"/>
    <n v="53.91"/>
    <x v="3"/>
  </r>
  <r>
    <x v="3"/>
    <x v="2"/>
    <x v="6"/>
    <x v="1"/>
    <n v="39287"/>
    <n v="21438284.870000001"/>
    <n v="4.97"/>
    <n v="70.25"/>
    <n v="52.39"/>
    <n v="215.78"/>
    <n v="74.819999999999993"/>
    <x v="3"/>
  </r>
  <r>
    <x v="3"/>
    <x v="2"/>
    <x v="7"/>
    <x v="1"/>
    <n v="43668"/>
    <n v="32615703.949999999"/>
    <n v="3.64"/>
    <n v="41.86"/>
    <n v="25.87"/>
    <n v="164.53"/>
    <n v="62.1"/>
    <x v="2"/>
  </r>
  <r>
    <x v="3"/>
    <x v="2"/>
    <x v="8"/>
    <x v="1"/>
    <n v="64883"/>
    <n v="70601769.767999902"/>
    <n v="4.5999999999999996"/>
    <n v="61.16"/>
    <n v="31.32"/>
    <n v="154.51"/>
    <n v="92.8"/>
    <x v="1"/>
  </r>
  <r>
    <x v="3"/>
    <x v="2"/>
    <x v="9"/>
    <x v="1"/>
    <n v="29698"/>
    <n v="9547956.3839999996"/>
    <n v="3.14"/>
    <n v="93.12"/>
    <n v="34.76"/>
    <n v="246.75"/>
    <n v="65.459999999999994"/>
    <x v="2"/>
  </r>
  <r>
    <x v="3"/>
    <x v="2"/>
    <x v="10"/>
    <x v="1"/>
    <n v="16005"/>
    <n v="41833223.630000003"/>
    <n v="6.71"/>
    <n v="88.73"/>
    <n v="39.93"/>
    <n v="281.7"/>
    <n v="86.82"/>
    <x v="2"/>
  </r>
  <r>
    <x v="3"/>
    <x v="2"/>
    <x v="11"/>
    <x v="1"/>
    <n v="55071"/>
    <n v="52340365.75"/>
    <n v="3.6"/>
    <n v="55.45"/>
    <n v="51.49"/>
    <n v="279.27"/>
    <n v="73.87"/>
    <x v="4"/>
  </r>
  <r>
    <x v="3"/>
    <x v="2"/>
    <x v="12"/>
    <x v="1"/>
    <n v="55853"/>
    <n v="6813706.7280000001"/>
    <n v="4.88"/>
    <n v="62.85"/>
    <n v="33.76"/>
    <n v="63.15"/>
    <n v="69.849999999999994"/>
    <x v="3"/>
  </r>
  <r>
    <x v="3"/>
    <x v="2"/>
    <x v="13"/>
    <x v="1"/>
    <n v="47291"/>
    <n v="19328484.68"/>
    <n v="6.51"/>
    <n v="102.8"/>
    <n v="36.28"/>
    <n v="222.44"/>
    <n v="74.489999999999995"/>
    <x v="0"/>
  </r>
  <r>
    <x v="3"/>
    <x v="2"/>
    <x v="14"/>
    <x v="1"/>
    <n v="30901"/>
    <n v="11882936.57"/>
    <n v="3.47"/>
    <n v="95.55"/>
    <n v="15.87"/>
    <n v="182.47"/>
    <n v="50.98"/>
    <x v="0"/>
  </r>
  <r>
    <x v="3"/>
    <x v="3"/>
    <x v="0"/>
    <x v="0"/>
    <n v="8330"/>
    <n v="4252116.8880000003"/>
    <n v="2.0099999999999998"/>
    <n v="89.2"/>
    <n v="17.57"/>
    <n v="213.49"/>
    <n v="61.069999999999901"/>
    <x v="3"/>
  </r>
  <r>
    <x v="3"/>
    <x v="3"/>
    <x v="1"/>
    <x v="0"/>
    <n v="16902"/>
    <n v="45919818.68"/>
    <n v="-0.25"/>
    <n v="68.67"/>
    <n v="2.5299999999999998"/>
    <n v="66.34"/>
    <n v="47.23"/>
    <x v="0"/>
  </r>
  <r>
    <x v="3"/>
    <x v="3"/>
    <x v="2"/>
    <x v="0"/>
    <n v="10352"/>
    <n v="10351376.890000001"/>
    <n v="3.16"/>
    <n v="68.23"/>
    <n v="24.33"/>
    <n v="137.24"/>
    <n v="49.71"/>
    <x v="0"/>
  </r>
  <r>
    <x v="3"/>
    <x v="3"/>
    <x v="3"/>
    <x v="0"/>
    <n v="20904"/>
    <n v="41945284.640000001"/>
    <n v="-0.06"/>
    <n v="53.51"/>
    <n v="35.450000000000003"/>
    <n v="63.87"/>
    <n v="78.05"/>
    <x v="0"/>
  </r>
  <r>
    <x v="3"/>
    <x v="3"/>
    <x v="4"/>
    <x v="0"/>
    <n v="32799"/>
    <n v="30084811.850000001"/>
    <n v="0.7"/>
    <n v="89.07"/>
    <n v="45.08"/>
    <n v="253.23"/>
    <n v="61.38"/>
    <x v="4"/>
  </r>
  <r>
    <x v="3"/>
    <x v="3"/>
    <x v="5"/>
    <x v="1"/>
    <n v="17884"/>
    <n v="11319455.1"/>
    <n v="4.18"/>
    <n v="99.95"/>
    <n v="7.17"/>
    <n v="265.77999999999997"/>
    <n v="86.45"/>
    <x v="3"/>
  </r>
  <r>
    <x v="3"/>
    <x v="3"/>
    <x v="6"/>
    <x v="1"/>
    <n v="40963"/>
    <n v="10902531.08"/>
    <n v="2.86"/>
    <n v="42.87"/>
    <n v="21.56"/>
    <n v="281.31"/>
    <n v="81.510000000000005"/>
    <x v="2"/>
  </r>
  <r>
    <x v="3"/>
    <x v="3"/>
    <x v="7"/>
    <x v="1"/>
    <n v="15691"/>
    <n v="21823040.170000002"/>
    <n v="3.07"/>
    <n v="42.69"/>
    <n v="42.69"/>
    <n v="135.63"/>
    <n v="72.27"/>
    <x v="3"/>
  </r>
  <r>
    <x v="3"/>
    <x v="3"/>
    <x v="8"/>
    <x v="1"/>
    <n v="23653"/>
    <n v="24085328.149999999"/>
    <n v="5.64"/>
    <n v="87.55"/>
    <n v="41.3"/>
    <n v="170.64"/>
    <n v="46.15"/>
    <x v="4"/>
  </r>
  <r>
    <x v="3"/>
    <x v="3"/>
    <x v="9"/>
    <x v="1"/>
    <n v="56264"/>
    <n v="11515465.800000001"/>
    <n v="3.42"/>
    <n v="82.21"/>
    <n v="39.950000000000003"/>
    <n v="68.7"/>
    <n v="94.84"/>
    <x v="4"/>
  </r>
  <r>
    <x v="3"/>
    <x v="3"/>
    <x v="10"/>
    <x v="1"/>
    <n v="47629"/>
    <n v="40258147.689999998"/>
    <n v="2.59"/>
    <n v="62.4"/>
    <n v="46.2"/>
    <n v="174.55"/>
    <n v="88.86"/>
    <x v="1"/>
  </r>
  <r>
    <x v="3"/>
    <x v="3"/>
    <x v="11"/>
    <x v="1"/>
    <n v="22829"/>
    <n v="33124655.16"/>
    <n v="6.4"/>
    <n v="70.69"/>
    <n v="26.25"/>
    <n v="125.31"/>
    <n v="93.2"/>
    <x v="3"/>
  </r>
  <r>
    <x v="3"/>
    <x v="3"/>
    <x v="12"/>
    <x v="1"/>
    <n v="33785"/>
    <n v="47573854.619999997"/>
    <n v="5.64"/>
    <n v="92.95"/>
    <n v="33.129999999999903"/>
    <n v="109.94"/>
    <n v="93.28"/>
    <x v="1"/>
  </r>
  <r>
    <x v="3"/>
    <x v="3"/>
    <x v="13"/>
    <x v="1"/>
    <n v="28676"/>
    <n v="33319538.640000001"/>
    <n v="5.17"/>
    <n v="80.3"/>
    <n v="30.76"/>
    <n v="213.39"/>
    <n v="76.2"/>
    <x v="0"/>
  </r>
  <r>
    <x v="3"/>
    <x v="3"/>
    <x v="14"/>
    <x v="1"/>
    <n v="62215"/>
    <n v="44729535.659999996"/>
    <n v="3.04"/>
    <n v="93.8"/>
    <n v="38.79"/>
    <n v="253.73"/>
    <n v="45.63"/>
    <x v="1"/>
  </r>
  <r>
    <x v="3"/>
    <x v="0"/>
    <x v="0"/>
    <x v="0"/>
    <n v="23678"/>
    <n v="23302026.23"/>
    <n v="0.57999999999999996"/>
    <n v="45.61"/>
    <n v="43.79"/>
    <n v="156.56"/>
    <n v="72.06"/>
    <x v="4"/>
  </r>
  <r>
    <x v="3"/>
    <x v="0"/>
    <x v="1"/>
    <x v="0"/>
    <n v="24682"/>
    <n v="30388420.881000001"/>
    <n v="3.89"/>
    <n v="65.349999999999994"/>
    <n v="41.22"/>
    <n v="202.74"/>
    <n v="65.05"/>
    <x v="1"/>
  </r>
  <r>
    <x v="3"/>
    <x v="0"/>
    <x v="2"/>
    <x v="0"/>
    <n v="49869"/>
    <n v="25015561.710000001"/>
    <n v="-0.1"/>
    <n v="66.77"/>
    <n v="25.65"/>
    <n v="137.77000000000001"/>
    <n v="75.23"/>
    <x v="3"/>
  </r>
  <r>
    <x v="3"/>
    <x v="0"/>
    <x v="3"/>
    <x v="0"/>
    <n v="5718"/>
    <n v="47611430.590000004"/>
    <n v="3.4"/>
    <n v="60.4"/>
    <n v="15.37"/>
    <n v="128.61000000000001"/>
    <n v="41.67"/>
    <x v="3"/>
  </r>
  <r>
    <x v="3"/>
    <x v="0"/>
    <x v="4"/>
    <x v="0"/>
    <n v="35233"/>
    <n v="10414206.279999999"/>
    <n v="2.0099999999999998"/>
    <n v="84.7"/>
    <n v="12.7"/>
    <n v="92.35"/>
    <n v="51.97"/>
    <x v="3"/>
  </r>
  <r>
    <x v="3"/>
    <x v="0"/>
    <x v="5"/>
    <x v="1"/>
    <n v="41857"/>
    <n v="71129083.790000007"/>
    <n v="4.8599999999999897"/>
    <n v="73.91"/>
    <n v="45.53"/>
    <n v="173.38"/>
    <n v="53.59"/>
    <x v="4"/>
  </r>
  <r>
    <x v="3"/>
    <x v="0"/>
    <x v="6"/>
    <x v="1"/>
    <n v="33814"/>
    <n v="62983632.700000003"/>
    <n v="4.5599999999999996"/>
    <n v="57.41"/>
    <n v="21.53"/>
    <n v="170.67"/>
    <n v="72.61"/>
    <x v="4"/>
  </r>
  <r>
    <x v="3"/>
    <x v="0"/>
    <x v="7"/>
    <x v="1"/>
    <n v="35418"/>
    <n v="14482116.279999999"/>
    <n v="4.01"/>
    <n v="91.45"/>
    <n v="6.56"/>
    <n v="157.75"/>
    <n v="57.04"/>
    <x v="4"/>
  </r>
  <r>
    <x v="3"/>
    <x v="0"/>
    <x v="8"/>
    <x v="1"/>
    <n v="39933"/>
    <n v="18632947.100000001"/>
    <n v="2.56"/>
    <n v="91.48"/>
    <n v="41.08"/>
    <n v="272.72000000000003"/>
    <n v="57.82"/>
    <x v="4"/>
  </r>
  <r>
    <x v="3"/>
    <x v="0"/>
    <x v="9"/>
    <x v="1"/>
    <n v="6800"/>
    <n v="6213699.6119999997"/>
    <n v="6.1"/>
    <n v="52.04"/>
    <n v="54.21"/>
    <n v="81.93"/>
    <n v="52.88"/>
    <x v="2"/>
  </r>
  <r>
    <x v="3"/>
    <x v="0"/>
    <x v="10"/>
    <x v="1"/>
    <n v="6787"/>
    <n v="52571041.670000002"/>
    <n v="4.93"/>
    <n v="103.73"/>
    <n v="29.49"/>
    <n v="274.81"/>
    <n v="47.7"/>
    <x v="1"/>
  </r>
  <r>
    <x v="3"/>
    <x v="0"/>
    <x v="11"/>
    <x v="1"/>
    <n v="34677"/>
    <n v="15661456.58"/>
    <n v="6.11"/>
    <n v="101.07"/>
    <n v="48.06"/>
    <n v="165.76"/>
    <n v="55.31"/>
    <x v="1"/>
  </r>
  <r>
    <x v="3"/>
    <x v="0"/>
    <x v="12"/>
    <x v="1"/>
    <n v="27735"/>
    <n v="60038350.75"/>
    <n v="6.4"/>
    <n v="42.86"/>
    <n v="50.44"/>
    <n v="118.36"/>
    <n v="80.72"/>
    <x v="3"/>
  </r>
  <r>
    <x v="3"/>
    <x v="0"/>
    <x v="13"/>
    <x v="1"/>
    <n v="51810"/>
    <n v="14517045.839999899"/>
    <n v="5.73"/>
    <n v="51.7"/>
    <n v="7.3599999999999897"/>
    <n v="174.15"/>
    <n v="73.56"/>
    <x v="0"/>
  </r>
  <r>
    <x v="3"/>
    <x v="0"/>
    <x v="14"/>
    <x v="1"/>
    <n v="46166"/>
    <n v="19455487.420000002"/>
    <n v="4.54"/>
    <n v="59.94"/>
    <n v="13.25"/>
    <n v="195.16"/>
    <n v="74.459999999999994"/>
    <x v="1"/>
  </r>
  <r>
    <x v="3"/>
    <x v="1"/>
    <x v="0"/>
    <x v="0"/>
    <n v="47075"/>
    <n v="9011313.3599999994"/>
    <n v="3.15"/>
    <n v="87.8"/>
    <n v="23.96"/>
    <n v="79.959999999999994"/>
    <n v="66.239999999999995"/>
    <x v="1"/>
  </r>
  <r>
    <x v="3"/>
    <x v="1"/>
    <x v="1"/>
    <x v="0"/>
    <n v="5465"/>
    <n v="14185149.880000001"/>
    <n v="1.97"/>
    <n v="73.540000000000006"/>
    <n v="45.99"/>
    <n v="292.18"/>
    <n v="37.14"/>
    <x v="3"/>
  </r>
  <r>
    <x v="3"/>
    <x v="1"/>
    <x v="2"/>
    <x v="0"/>
    <n v="22036"/>
    <n v="14156370.640000001"/>
    <n v="2.12"/>
    <n v="60.31"/>
    <n v="-0.89"/>
    <n v="298.7"/>
    <n v="43.46"/>
    <x v="0"/>
  </r>
  <r>
    <x v="3"/>
    <x v="1"/>
    <x v="3"/>
    <x v="0"/>
    <n v="31388"/>
    <n v="15148576.49"/>
    <n v="3.44"/>
    <n v="67"/>
    <n v="45.8"/>
    <n v="92.32"/>
    <n v="39.57"/>
    <x v="4"/>
  </r>
  <r>
    <x v="3"/>
    <x v="1"/>
    <x v="4"/>
    <x v="0"/>
    <n v="33806"/>
    <n v="23699378.708999999"/>
    <n v="-0.23"/>
    <n v="77.31"/>
    <n v="47.51"/>
    <n v="129.69999999999999"/>
    <n v="78.41"/>
    <x v="3"/>
  </r>
  <r>
    <x v="3"/>
    <x v="1"/>
    <x v="5"/>
    <x v="1"/>
    <n v="46798"/>
    <n v="34010964.590000004"/>
    <n v="2.84"/>
    <n v="95.15"/>
    <n v="47.23"/>
    <n v="287.88"/>
    <n v="87.65"/>
    <x v="2"/>
  </r>
  <r>
    <x v="3"/>
    <x v="1"/>
    <x v="6"/>
    <x v="1"/>
    <n v="15007"/>
    <n v="56176071.659999996"/>
    <n v="6.81"/>
    <n v="83.96"/>
    <n v="44.71"/>
    <n v="258.98"/>
    <n v="59.6"/>
    <x v="1"/>
  </r>
  <r>
    <x v="3"/>
    <x v="1"/>
    <x v="7"/>
    <x v="1"/>
    <n v="10585"/>
    <n v="29685804.23"/>
    <n v="3.51"/>
    <n v="93.42"/>
    <n v="38.630000000000003"/>
    <n v="171.64"/>
    <n v="87.93"/>
    <x v="4"/>
  </r>
  <r>
    <x v="3"/>
    <x v="1"/>
    <x v="8"/>
    <x v="1"/>
    <n v="10415"/>
    <n v="16056993.77"/>
    <n v="2.85"/>
    <n v="87.84"/>
    <n v="42.48"/>
    <n v="160.24"/>
    <n v="51.79"/>
    <x v="0"/>
  </r>
  <r>
    <x v="3"/>
    <x v="1"/>
    <x v="9"/>
    <x v="1"/>
    <n v="54159"/>
    <n v="43416974.450000003"/>
    <n v="5.91"/>
    <n v="101.8"/>
    <n v="45.27"/>
    <n v="232.71"/>
    <n v="51.01"/>
    <x v="1"/>
  </r>
  <r>
    <x v="3"/>
    <x v="1"/>
    <x v="10"/>
    <x v="1"/>
    <n v="17217"/>
    <n v="31929959.75"/>
    <n v="3.68"/>
    <n v="41.36"/>
    <n v="32"/>
    <n v="291.72000000000003"/>
    <n v="45.78"/>
    <x v="2"/>
  </r>
  <r>
    <x v="3"/>
    <x v="1"/>
    <x v="11"/>
    <x v="1"/>
    <n v="53719"/>
    <n v="15328592.42"/>
    <n v="3.88"/>
    <n v="79.25"/>
    <n v="36.07"/>
    <n v="286.49"/>
    <n v="48.06"/>
    <x v="3"/>
  </r>
  <r>
    <x v="3"/>
    <x v="1"/>
    <x v="12"/>
    <x v="1"/>
    <n v="58156"/>
    <n v="45419753.700000003"/>
    <n v="4.2799999999999896"/>
    <n v="88.11"/>
    <n v="44.95"/>
    <n v="232.59"/>
    <n v="86.74"/>
    <x v="2"/>
  </r>
  <r>
    <x v="3"/>
    <x v="1"/>
    <x v="13"/>
    <x v="1"/>
    <n v="33117"/>
    <n v="5432435.60399999"/>
    <n v="6.58"/>
    <n v="83.47"/>
    <n v="38.520000000000003"/>
    <n v="282.72000000000003"/>
    <n v="86.09"/>
    <x v="0"/>
  </r>
  <r>
    <x v="3"/>
    <x v="1"/>
    <x v="14"/>
    <x v="1"/>
    <n v="24948"/>
    <n v="7564107.5760000004"/>
    <n v="3.51"/>
    <n v="89.68"/>
    <n v="53.4"/>
    <n v="284.12"/>
    <n v="72.56"/>
    <x v="1"/>
  </r>
  <r>
    <x v="3"/>
    <x v="2"/>
    <x v="0"/>
    <x v="0"/>
    <n v="10671"/>
    <n v="9842035.3650000002"/>
    <n v="0.25"/>
    <n v="50.83"/>
    <n v="26.94"/>
    <n v="249.36"/>
    <n v="77.13"/>
    <x v="0"/>
  </r>
  <r>
    <x v="3"/>
    <x v="2"/>
    <x v="1"/>
    <x v="0"/>
    <n v="27006"/>
    <n v="5136019.5420000004"/>
    <n v="0.36"/>
    <n v="70.180000000000007"/>
    <n v="-0.05"/>
    <n v="179.88"/>
    <n v="63.62"/>
    <x v="2"/>
  </r>
  <r>
    <x v="3"/>
    <x v="2"/>
    <x v="2"/>
    <x v="0"/>
    <n v="35658"/>
    <n v="14607494.42"/>
    <n v="1.18"/>
    <n v="33.54"/>
    <n v="9.9600000000000009"/>
    <n v="232.38"/>
    <n v="66.959999999999994"/>
    <x v="0"/>
  </r>
  <r>
    <x v="3"/>
    <x v="2"/>
    <x v="3"/>
    <x v="0"/>
    <n v="8330"/>
    <n v="26191927.649999999"/>
    <n v="4"/>
    <n v="73.87"/>
    <n v="24.35"/>
    <n v="169.49"/>
    <n v="53.29"/>
    <x v="3"/>
  </r>
  <r>
    <x v="3"/>
    <x v="2"/>
    <x v="4"/>
    <x v="0"/>
    <n v="32243"/>
    <n v="28519800.440000001"/>
    <n v="0.12999999999999901"/>
    <n v="27.27"/>
    <n v="22.56"/>
    <n v="82.24"/>
    <n v="53.9"/>
    <x v="3"/>
  </r>
  <r>
    <x v="3"/>
    <x v="2"/>
    <x v="5"/>
    <x v="1"/>
    <n v="49871"/>
    <n v="8902985.2439999897"/>
    <n v="6.82"/>
    <n v="48.95"/>
    <n v="18.68"/>
    <n v="240.7"/>
    <n v="53.91"/>
    <x v="3"/>
  </r>
  <r>
    <x v="3"/>
    <x v="2"/>
    <x v="6"/>
    <x v="1"/>
    <n v="39287"/>
    <n v="21438284.870000001"/>
    <n v="4.97"/>
    <n v="70.25"/>
    <n v="52.39"/>
    <n v="215.78"/>
    <n v="74.819999999999993"/>
    <x v="3"/>
  </r>
  <r>
    <x v="3"/>
    <x v="2"/>
    <x v="7"/>
    <x v="1"/>
    <n v="43668"/>
    <n v="32615703.949999999"/>
    <n v="3.64"/>
    <n v="41.86"/>
    <n v="25.87"/>
    <n v="164.53"/>
    <n v="62.1"/>
    <x v="2"/>
  </r>
  <r>
    <x v="3"/>
    <x v="2"/>
    <x v="8"/>
    <x v="1"/>
    <n v="64883"/>
    <n v="70601769.767999902"/>
    <n v="4.5999999999999996"/>
    <n v="61.16"/>
    <n v="31.32"/>
    <n v="154.51"/>
    <n v="92.8"/>
    <x v="1"/>
  </r>
  <r>
    <x v="3"/>
    <x v="2"/>
    <x v="9"/>
    <x v="1"/>
    <n v="29698"/>
    <n v="9547956.3839999996"/>
    <n v="3.14"/>
    <n v="93.12"/>
    <n v="34.76"/>
    <n v="246.75"/>
    <n v="65.459999999999994"/>
    <x v="2"/>
  </r>
  <r>
    <x v="3"/>
    <x v="2"/>
    <x v="10"/>
    <x v="1"/>
    <n v="16005"/>
    <n v="41833223.630000003"/>
    <n v="6.71"/>
    <n v="88.73"/>
    <n v="39.93"/>
    <n v="281.7"/>
    <n v="86.82"/>
    <x v="2"/>
  </r>
  <r>
    <x v="3"/>
    <x v="2"/>
    <x v="11"/>
    <x v="1"/>
    <n v="55071"/>
    <n v="52340365.75"/>
    <n v="3.6"/>
    <n v="55.45"/>
    <n v="51.49"/>
    <n v="279.27"/>
    <n v="73.87"/>
    <x v="4"/>
  </r>
  <r>
    <x v="3"/>
    <x v="2"/>
    <x v="12"/>
    <x v="1"/>
    <n v="55853"/>
    <n v="6813706.7280000001"/>
    <n v="4.88"/>
    <n v="62.85"/>
    <n v="33.76"/>
    <n v="63.15"/>
    <n v="69.849999999999994"/>
    <x v="3"/>
  </r>
  <r>
    <x v="3"/>
    <x v="2"/>
    <x v="13"/>
    <x v="1"/>
    <n v="47291"/>
    <n v="19328484.68"/>
    <n v="6.51"/>
    <n v="102.8"/>
    <n v="36.28"/>
    <n v="222.44"/>
    <n v="74.489999999999995"/>
    <x v="0"/>
  </r>
  <r>
    <x v="3"/>
    <x v="2"/>
    <x v="14"/>
    <x v="1"/>
    <n v="30901"/>
    <n v="11882936.57"/>
    <n v="3.47"/>
    <n v="95.55"/>
    <n v="15.87"/>
    <n v="182.47"/>
    <n v="50.98"/>
    <x v="0"/>
  </r>
  <r>
    <x v="3"/>
    <x v="3"/>
    <x v="0"/>
    <x v="0"/>
    <n v="8330"/>
    <n v="4252116.8880000003"/>
    <n v="2.0099999999999998"/>
    <n v="89.2"/>
    <n v="17.57"/>
    <n v="213.49"/>
    <n v="61.069999999999901"/>
    <x v="3"/>
  </r>
  <r>
    <x v="3"/>
    <x v="3"/>
    <x v="1"/>
    <x v="0"/>
    <n v="16902"/>
    <n v="45919818.68"/>
    <n v="-0.25"/>
    <n v="68.67"/>
    <n v="2.5299999999999998"/>
    <n v="66.34"/>
    <n v="47.23"/>
    <x v="0"/>
  </r>
  <r>
    <x v="3"/>
    <x v="3"/>
    <x v="2"/>
    <x v="0"/>
    <n v="10352"/>
    <n v="10351376.890000001"/>
    <n v="3.16"/>
    <n v="68.23"/>
    <n v="24.33"/>
    <n v="137.24"/>
    <n v="49.71"/>
    <x v="0"/>
  </r>
  <r>
    <x v="3"/>
    <x v="3"/>
    <x v="3"/>
    <x v="0"/>
    <n v="20904"/>
    <n v="41945284.640000001"/>
    <n v="-0.06"/>
    <n v="53.51"/>
    <n v="35.450000000000003"/>
    <n v="63.87"/>
    <n v="78.05"/>
    <x v="0"/>
  </r>
  <r>
    <x v="3"/>
    <x v="3"/>
    <x v="4"/>
    <x v="0"/>
    <n v="32799"/>
    <n v="30084811.850000001"/>
    <n v="0.7"/>
    <n v="89.07"/>
    <n v="45.08"/>
    <n v="253.23"/>
    <n v="61.38"/>
    <x v="4"/>
  </r>
  <r>
    <x v="3"/>
    <x v="3"/>
    <x v="5"/>
    <x v="1"/>
    <n v="17884"/>
    <n v="11319455.1"/>
    <n v="4.18"/>
    <n v="99.95"/>
    <n v="7.17"/>
    <n v="265.77999999999997"/>
    <n v="86.45"/>
    <x v="3"/>
  </r>
  <r>
    <x v="3"/>
    <x v="3"/>
    <x v="6"/>
    <x v="1"/>
    <n v="40963"/>
    <n v="10902531.08"/>
    <n v="2.86"/>
    <n v="42.87"/>
    <n v="21.56"/>
    <n v="281.31"/>
    <n v="81.510000000000005"/>
    <x v="2"/>
  </r>
  <r>
    <x v="3"/>
    <x v="3"/>
    <x v="7"/>
    <x v="1"/>
    <n v="15691"/>
    <n v="21823040.170000002"/>
    <n v="3.07"/>
    <n v="42.69"/>
    <n v="42.69"/>
    <n v="135.63"/>
    <n v="72.27"/>
    <x v="3"/>
  </r>
  <r>
    <x v="3"/>
    <x v="3"/>
    <x v="8"/>
    <x v="1"/>
    <n v="23653"/>
    <n v="24085328.149999999"/>
    <n v="5.64"/>
    <n v="87.55"/>
    <n v="41.3"/>
    <n v="170.64"/>
    <n v="46.15"/>
    <x v="4"/>
  </r>
  <r>
    <x v="3"/>
    <x v="3"/>
    <x v="9"/>
    <x v="1"/>
    <n v="56264"/>
    <n v="11515465.800000001"/>
    <n v="3.42"/>
    <n v="82.21"/>
    <n v="39.950000000000003"/>
    <n v="68.7"/>
    <n v="94.84"/>
    <x v="4"/>
  </r>
  <r>
    <x v="3"/>
    <x v="3"/>
    <x v="10"/>
    <x v="1"/>
    <n v="47629"/>
    <n v="40258147.689999998"/>
    <n v="2.59"/>
    <n v="62.4"/>
    <n v="46.2"/>
    <n v="174.55"/>
    <n v="88.86"/>
    <x v="1"/>
  </r>
  <r>
    <x v="3"/>
    <x v="3"/>
    <x v="11"/>
    <x v="1"/>
    <n v="22829"/>
    <n v="33124655.16"/>
    <n v="6.4"/>
    <n v="70.69"/>
    <n v="26.25"/>
    <n v="125.31"/>
    <n v="93.2"/>
    <x v="3"/>
  </r>
  <r>
    <x v="3"/>
    <x v="3"/>
    <x v="12"/>
    <x v="1"/>
    <n v="33785"/>
    <n v="47573854.619999997"/>
    <n v="5.64"/>
    <n v="92.95"/>
    <n v="33.129999999999903"/>
    <n v="109.94"/>
    <n v="93.28"/>
    <x v="1"/>
  </r>
  <r>
    <x v="3"/>
    <x v="3"/>
    <x v="13"/>
    <x v="1"/>
    <n v="28676"/>
    <n v="33319538.640000001"/>
    <n v="5.17"/>
    <n v="80.3"/>
    <n v="30.76"/>
    <n v="213.39"/>
    <n v="76.2"/>
    <x v="0"/>
  </r>
  <r>
    <x v="3"/>
    <x v="3"/>
    <x v="14"/>
    <x v="1"/>
    <n v="62215"/>
    <n v="44729535.659999996"/>
    <n v="3.04"/>
    <n v="93.8"/>
    <n v="38.79"/>
    <n v="253.73"/>
    <n v="45.63"/>
    <x v="1"/>
  </r>
  <r>
    <x v="3"/>
    <x v="2"/>
    <x v="10"/>
    <x v="1"/>
    <n v="16005"/>
    <n v="41833223.630000003"/>
    <n v="6.71"/>
    <n v="88.73"/>
    <n v="39.93"/>
    <n v="281.7"/>
    <n v="86.82"/>
    <x v="2"/>
  </r>
  <r>
    <x v="3"/>
    <x v="2"/>
    <x v="3"/>
    <x v="0"/>
    <n v="8330"/>
    <n v="26191927.649999999"/>
    <n v="4"/>
    <n v="73.87"/>
    <n v="24.35"/>
    <n v="169.49"/>
    <n v="53.29"/>
    <x v="3"/>
  </r>
  <r>
    <x v="3"/>
    <x v="0"/>
    <x v="9"/>
    <x v="1"/>
    <n v="6800"/>
    <n v="6213699.6119999997"/>
    <n v="6.1"/>
    <n v="52.04"/>
    <n v="54.21"/>
    <n v="81.93"/>
    <n v="52.88"/>
    <x v="2"/>
  </r>
  <r>
    <x v="3"/>
    <x v="2"/>
    <x v="4"/>
    <x v="0"/>
    <n v="32243"/>
    <n v="28519800.440000001"/>
    <n v="0.12999999999999901"/>
    <n v="27.27"/>
    <n v="22.56"/>
    <n v="82.24"/>
    <n v="53.9"/>
    <x v="3"/>
  </r>
  <r>
    <x v="3"/>
    <x v="2"/>
    <x v="8"/>
    <x v="1"/>
    <n v="64883"/>
    <n v="70601769.767999902"/>
    <n v="4.5999999999999996"/>
    <n v="61.16"/>
    <n v="31.32"/>
    <n v="154.51"/>
    <n v="92.8"/>
    <x v="1"/>
  </r>
  <r>
    <x v="3"/>
    <x v="3"/>
    <x v="12"/>
    <x v="1"/>
    <n v="33785"/>
    <n v="47573854.619999997"/>
    <n v="5.64"/>
    <n v="92.95"/>
    <n v="33.129999999999903"/>
    <n v="109.94"/>
    <n v="93.28"/>
    <x v="1"/>
  </r>
  <r>
    <x v="3"/>
    <x v="1"/>
    <x v="6"/>
    <x v="1"/>
    <n v="15007"/>
    <n v="56176071.659999996"/>
    <n v="6.81"/>
    <n v="83.96"/>
    <n v="44.71"/>
    <n v="258.98"/>
    <n v="59.6"/>
    <x v="1"/>
  </r>
  <r>
    <x v="3"/>
    <x v="2"/>
    <x v="11"/>
    <x v="1"/>
    <n v="55071"/>
    <n v="52340365.75"/>
    <n v="3.6"/>
    <n v="55.45"/>
    <n v="51.49"/>
    <n v="279.27"/>
    <n v="73.87"/>
    <x v="4"/>
  </r>
  <r>
    <x v="3"/>
    <x v="1"/>
    <x v="1"/>
    <x v="0"/>
    <n v="5465"/>
    <n v="14185149.880000001"/>
    <n v="1.97"/>
    <n v="73.540000000000006"/>
    <n v="45.99"/>
    <n v="292.18"/>
    <n v="37.14"/>
    <x v="3"/>
  </r>
  <r>
    <x v="3"/>
    <x v="1"/>
    <x v="6"/>
    <x v="1"/>
    <n v="15007"/>
    <n v="56176071.659999996"/>
    <n v="6.81"/>
    <n v="83.96"/>
    <n v="44.71"/>
    <n v="258.98"/>
    <n v="59.6"/>
    <x v="1"/>
  </r>
  <r>
    <x v="3"/>
    <x v="3"/>
    <x v="11"/>
    <x v="1"/>
    <n v="22829"/>
    <n v="33124655.16"/>
    <n v="6.4"/>
    <n v="70.69"/>
    <n v="26.25"/>
    <n v="125.31"/>
    <n v="93.2"/>
    <x v="3"/>
  </r>
  <r>
    <x v="3"/>
    <x v="2"/>
    <x v="7"/>
    <x v="1"/>
    <n v="43668"/>
    <n v="32615703.949999999"/>
    <n v="3.64"/>
    <n v="41.86"/>
    <n v="25.87"/>
    <n v="164.53"/>
    <n v="62.1"/>
    <x v="2"/>
  </r>
  <r>
    <x v="3"/>
    <x v="1"/>
    <x v="1"/>
    <x v="0"/>
    <n v="5465"/>
    <n v="14185149.880000001"/>
    <n v="1.97"/>
    <n v="73.540000000000006"/>
    <n v="45.99"/>
    <n v="292.18"/>
    <n v="37.14"/>
    <x v="3"/>
  </r>
  <r>
    <x v="3"/>
    <x v="0"/>
    <x v="6"/>
    <x v="1"/>
    <n v="33814"/>
    <n v="62983632.700000003"/>
    <n v="4.5599999999999996"/>
    <n v="57.41"/>
    <n v="21.53"/>
    <n v="170.67"/>
    <n v="72.61"/>
    <x v="4"/>
  </r>
  <r>
    <x v="3"/>
    <x v="1"/>
    <x v="1"/>
    <x v="0"/>
    <n v="5465"/>
    <n v="14185149.880000001"/>
    <n v="1.97"/>
    <n v="73.540000000000006"/>
    <n v="45.99"/>
    <n v="292.18"/>
    <n v="37.14"/>
    <x v="3"/>
  </r>
  <r>
    <x v="3"/>
    <x v="3"/>
    <x v="4"/>
    <x v="0"/>
    <n v="32799"/>
    <n v="30084811.850000001"/>
    <n v="0.7"/>
    <n v="89.07"/>
    <n v="45.08"/>
    <n v="253.23"/>
    <n v="61.38"/>
    <x v="4"/>
  </r>
  <r>
    <x v="3"/>
    <x v="0"/>
    <x v="4"/>
    <x v="0"/>
    <n v="35233"/>
    <n v="10414206.279999999"/>
    <n v="2.0099999999999998"/>
    <n v="84.7"/>
    <n v="12.7"/>
    <n v="92.35"/>
    <n v="51.97"/>
    <x v="3"/>
  </r>
  <r>
    <x v="3"/>
    <x v="0"/>
    <x v="4"/>
    <x v="0"/>
    <n v="35233"/>
    <n v="10414206.279999999"/>
    <n v="2.0099999999999998"/>
    <n v="84.7"/>
    <n v="12.7"/>
    <n v="92.35"/>
    <n v="51.97"/>
    <x v="3"/>
  </r>
  <r>
    <x v="3"/>
    <x v="1"/>
    <x v="9"/>
    <x v="1"/>
    <n v="54159"/>
    <n v="43416974.450000003"/>
    <n v="5.91"/>
    <n v="101.8"/>
    <n v="45.27"/>
    <n v="232.71"/>
    <n v="51.01"/>
    <x v="1"/>
  </r>
  <r>
    <x v="3"/>
    <x v="0"/>
    <x v="9"/>
    <x v="1"/>
    <n v="6800"/>
    <n v="6213699.6119999997"/>
    <n v="6.1"/>
    <n v="52.04"/>
    <n v="54.21"/>
    <n v="81.93"/>
    <n v="52.88"/>
    <x v="2"/>
  </r>
  <r>
    <x v="3"/>
    <x v="0"/>
    <x v="4"/>
    <x v="0"/>
    <n v="35233"/>
    <n v="10414206.279999999"/>
    <n v="2.0099999999999998"/>
    <n v="84.7"/>
    <n v="12.7"/>
    <n v="92.35"/>
    <n v="51.97"/>
    <x v="3"/>
  </r>
  <r>
    <x v="3"/>
    <x v="1"/>
    <x v="12"/>
    <x v="1"/>
    <n v="58156"/>
    <n v="45419753.700000003"/>
    <n v="4.2799999999999896"/>
    <n v="88.11"/>
    <n v="44.95"/>
    <n v="232.59"/>
    <n v="86.74"/>
    <x v="2"/>
  </r>
  <r>
    <x v="3"/>
    <x v="2"/>
    <x v="1"/>
    <x v="0"/>
    <n v="27006"/>
    <n v="5136019.5420000004"/>
    <n v="0.36"/>
    <n v="70.180000000000007"/>
    <n v="-0.05"/>
    <n v="179.88"/>
    <n v="63.62"/>
    <x v="2"/>
  </r>
  <r>
    <x v="3"/>
    <x v="1"/>
    <x v="1"/>
    <x v="0"/>
    <n v="5465"/>
    <n v="14185149.880000001"/>
    <n v="1.97"/>
    <n v="73.540000000000006"/>
    <n v="45.99"/>
    <n v="292.18"/>
    <n v="37.14"/>
    <x v="3"/>
  </r>
  <r>
    <x v="3"/>
    <x v="2"/>
    <x v="1"/>
    <x v="0"/>
    <n v="27006"/>
    <n v="5136019.5420000004"/>
    <n v="0.36"/>
    <n v="70.180000000000007"/>
    <n v="-0.05"/>
    <n v="179.88"/>
    <n v="63.62"/>
    <x v="2"/>
  </r>
  <r>
    <x v="3"/>
    <x v="0"/>
    <x v="10"/>
    <x v="1"/>
    <n v="6787"/>
    <n v="52571041.670000002"/>
    <n v="4.93"/>
    <n v="103.73"/>
    <n v="29.49"/>
    <n v="274.81"/>
    <n v="47.7"/>
    <x v="1"/>
  </r>
  <r>
    <x v="3"/>
    <x v="3"/>
    <x v="8"/>
    <x v="1"/>
    <n v="23653"/>
    <n v="24085328.149999999"/>
    <n v="5.64"/>
    <n v="87.55"/>
    <n v="41.3"/>
    <n v="170.64"/>
    <n v="46.15"/>
    <x v="4"/>
  </r>
  <r>
    <x v="3"/>
    <x v="3"/>
    <x v="1"/>
    <x v="0"/>
    <n v="16902"/>
    <n v="45919818.68"/>
    <n v="-0.25"/>
    <n v="68.67"/>
    <n v="2.5299999999999998"/>
    <n v="66.34"/>
    <n v="47.23"/>
    <x v="0"/>
  </r>
  <r>
    <x v="3"/>
    <x v="1"/>
    <x v="13"/>
    <x v="1"/>
    <n v="33117"/>
    <n v="5432435.60399999"/>
    <n v="6.58"/>
    <n v="83.47"/>
    <n v="38.520000000000003"/>
    <n v="282.72000000000003"/>
    <n v="86.09"/>
    <x v="0"/>
  </r>
  <r>
    <x v="3"/>
    <x v="2"/>
    <x v="5"/>
    <x v="1"/>
    <n v="49871"/>
    <n v="8902985.2439999897"/>
    <n v="6.82"/>
    <n v="48.95"/>
    <n v="18.68"/>
    <n v="240.7"/>
    <n v="53.91"/>
    <x v="3"/>
  </r>
  <r>
    <x v="3"/>
    <x v="0"/>
    <x v="5"/>
    <x v="1"/>
    <n v="41857"/>
    <n v="71129083.790000007"/>
    <n v="4.8599999999999897"/>
    <n v="73.91"/>
    <n v="45.53"/>
    <n v="173.38"/>
    <n v="53.59"/>
    <x v="4"/>
  </r>
  <r>
    <x v="3"/>
    <x v="1"/>
    <x v="6"/>
    <x v="1"/>
    <n v="15007"/>
    <n v="56176071.659999996"/>
    <n v="6.81"/>
    <n v="83.96"/>
    <n v="44.71"/>
    <n v="258.98"/>
    <n v="59.6"/>
    <x v="1"/>
  </r>
  <r>
    <x v="3"/>
    <x v="2"/>
    <x v="11"/>
    <x v="1"/>
    <n v="55071"/>
    <n v="52340365.75"/>
    <n v="3.6"/>
    <n v="55.45"/>
    <n v="51.49"/>
    <n v="279.27"/>
    <n v="73.87"/>
    <x v="4"/>
  </r>
  <r>
    <x v="3"/>
    <x v="3"/>
    <x v="7"/>
    <x v="1"/>
    <n v="15691"/>
    <n v="21823040.170000002"/>
    <n v="3.07"/>
    <n v="42.69"/>
    <n v="42.69"/>
    <n v="135.63"/>
    <n v="72.27"/>
    <x v="3"/>
  </r>
  <r>
    <x v="3"/>
    <x v="2"/>
    <x v="2"/>
    <x v="0"/>
    <n v="35658"/>
    <n v="14607494.42"/>
    <n v="1.18"/>
    <n v="33.54"/>
    <n v="9.9600000000000009"/>
    <n v="232.38"/>
    <n v="66.959999999999994"/>
    <x v="0"/>
  </r>
  <r>
    <x v="3"/>
    <x v="1"/>
    <x v="12"/>
    <x v="1"/>
    <n v="58156"/>
    <n v="45419753.700000003"/>
    <n v="4.2799999999999896"/>
    <n v="88.11"/>
    <n v="44.95"/>
    <n v="232.59"/>
    <n v="86.74"/>
    <x v="2"/>
  </r>
  <r>
    <x v="3"/>
    <x v="0"/>
    <x v="6"/>
    <x v="1"/>
    <n v="33814"/>
    <n v="62983632.700000003"/>
    <n v="4.5599999999999996"/>
    <n v="57.41"/>
    <n v="21.53"/>
    <n v="170.67"/>
    <n v="72.61"/>
    <x v="4"/>
  </r>
  <r>
    <x v="3"/>
    <x v="1"/>
    <x v="7"/>
    <x v="1"/>
    <n v="10585"/>
    <n v="29685804.23"/>
    <n v="3.51"/>
    <n v="93.42"/>
    <n v="38.630000000000003"/>
    <n v="171.64"/>
    <n v="87.93"/>
    <x v="4"/>
  </r>
  <r>
    <x v="3"/>
    <x v="3"/>
    <x v="10"/>
    <x v="1"/>
    <n v="47629"/>
    <n v="40258147.689999998"/>
    <n v="2.59"/>
    <n v="62.4"/>
    <n v="46.2"/>
    <n v="174.55"/>
    <n v="88.86"/>
    <x v="1"/>
  </r>
  <r>
    <x v="3"/>
    <x v="1"/>
    <x v="10"/>
    <x v="1"/>
    <n v="17217"/>
    <n v="31929959.75"/>
    <n v="3.68"/>
    <n v="41.36"/>
    <n v="32"/>
    <n v="291.72000000000003"/>
    <n v="45.78"/>
    <x v="2"/>
  </r>
  <r>
    <x v="3"/>
    <x v="2"/>
    <x v="10"/>
    <x v="1"/>
    <n v="16005"/>
    <n v="41833223.630000003"/>
    <n v="6.71"/>
    <n v="88.73"/>
    <n v="39.93"/>
    <n v="281.7"/>
    <n v="86.82"/>
    <x v="2"/>
  </r>
  <r>
    <x v="3"/>
    <x v="1"/>
    <x v="5"/>
    <x v="1"/>
    <n v="46798"/>
    <n v="34010964.590000004"/>
    <n v="2.84"/>
    <n v="95.15"/>
    <n v="47.23"/>
    <n v="287.88"/>
    <n v="87.65"/>
    <x v="2"/>
  </r>
  <r>
    <x v="3"/>
    <x v="0"/>
    <x v="11"/>
    <x v="1"/>
    <n v="34677"/>
    <n v="15661456.58"/>
    <n v="6.11"/>
    <n v="101.07"/>
    <n v="48.06"/>
    <n v="165.76"/>
    <n v="55.31"/>
    <x v="1"/>
  </r>
  <r>
    <x v="3"/>
    <x v="3"/>
    <x v="1"/>
    <x v="0"/>
    <n v="16902"/>
    <n v="45919818.68"/>
    <n v="-0.25"/>
    <n v="68.67"/>
    <n v="2.5299999999999998"/>
    <n v="66.34"/>
    <n v="47.23"/>
    <x v="0"/>
  </r>
  <r>
    <x v="3"/>
    <x v="3"/>
    <x v="1"/>
    <x v="0"/>
    <n v="16902"/>
    <n v="45919818.68"/>
    <n v="-0.25"/>
    <n v="68.67"/>
    <n v="2.5299999999999998"/>
    <n v="66.34"/>
    <n v="47.23"/>
    <x v="0"/>
  </r>
  <r>
    <x v="3"/>
    <x v="1"/>
    <x v="7"/>
    <x v="1"/>
    <n v="10585"/>
    <n v="29685804.23"/>
    <n v="3.51"/>
    <n v="93.42"/>
    <n v="38.630000000000003"/>
    <n v="171.64"/>
    <n v="87.93"/>
    <x v="4"/>
  </r>
  <r>
    <x v="3"/>
    <x v="1"/>
    <x v="5"/>
    <x v="1"/>
    <n v="46798"/>
    <n v="34010964.590000004"/>
    <n v="2.84"/>
    <n v="95.15"/>
    <n v="47.23"/>
    <n v="287.88"/>
    <n v="87.65"/>
    <x v="2"/>
  </r>
  <r>
    <x v="3"/>
    <x v="1"/>
    <x v="4"/>
    <x v="0"/>
    <n v="33806"/>
    <n v="23699378.708999999"/>
    <n v="-0.23"/>
    <n v="77.31"/>
    <n v="47.51"/>
    <n v="129.69999999999999"/>
    <n v="78.41"/>
    <x v="3"/>
  </r>
  <r>
    <x v="3"/>
    <x v="0"/>
    <x v="0"/>
    <x v="0"/>
    <n v="23678"/>
    <n v="23302026.23"/>
    <n v="0.57999999999999996"/>
    <n v="45.61"/>
    <n v="43.79"/>
    <n v="156.56"/>
    <n v="72.06"/>
    <x v="4"/>
  </r>
  <r>
    <x v="4"/>
    <x v="0"/>
    <x v="0"/>
    <x v="0"/>
    <n v="40947"/>
    <n v="29431350.050000001"/>
    <n v="2.29"/>
    <n v="31.64"/>
    <n v="20.82"/>
    <n v="272.01"/>
    <n v="80.790000000000006"/>
    <x v="4"/>
  </r>
  <r>
    <x v="4"/>
    <x v="0"/>
    <x v="1"/>
    <x v="0"/>
    <n v="14664"/>
    <n v="15195950.99"/>
    <n v="1.66"/>
    <n v="62.66"/>
    <n v="1.47"/>
    <n v="171.98"/>
    <n v="74.11"/>
    <x v="3"/>
  </r>
  <r>
    <x v="4"/>
    <x v="0"/>
    <x v="2"/>
    <x v="0"/>
    <n v="43817"/>
    <n v="24176526.140000001"/>
    <n v="2.4500000000000002"/>
    <n v="48.62"/>
    <n v="20.28"/>
    <n v="175.27"/>
    <n v="73.89"/>
    <x v="4"/>
  </r>
  <r>
    <x v="4"/>
    <x v="0"/>
    <x v="3"/>
    <x v="0"/>
    <n v="41459"/>
    <n v="13687954.880000001"/>
    <n v="-0.11"/>
    <n v="62.18"/>
    <n v="11.77"/>
    <n v="287.5"/>
    <n v="41.54"/>
    <x v="1"/>
  </r>
  <r>
    <x v="4"/>
    <x v="0"/>
    <x v="4"/>
    <x v="0"/>
    <n v="32918"/>
    <n v="22481075.41"/>
    <n v="1.86"/>
    <n v="81.72"/>
    <n v="33.4"/>
    <n v="108.49"/>
    <n v="65.459999999999994"/>
    <x v="3"/>
  </r>
  <r>
    <x v="4"/>
    <x v="0"/>
    <x v="5"/>
    <x v="1"/>
    <n v="42266"/>
    <n v="25950100.260000002"/>
    <n v="6.02"/>
    <n v="55.39"/>
    <n v="39.53"/>
    <n v="262.25"/>
    <n v="45.63"/>
    <x v="0"/>
  </r>
  <r>
    <x v="4"/>
    <x v="0"/>
    <x v="6"/>
    <x v="1"/>
    <n v="35503"/>
    <n v="31844795.27"/>
    <n v="3.87"/>
    <n v="85.47"/>
    <n v="48.17"/>
    <n v="262.83999999999997"/>
    <n v="68"/>
    <x v="0"/>
  </r>
  <r>
    <x v="4"/>
    <x v="0"/>
    <x v="7"/>
    <x v="1"/>
    <n v="47694"/>
    <n v="18903891.32"/>
    <n v="5.9"/>
    <n v="62.48"/>
    <n v="29.12"/>
    <n v="227.77"/>
    <n v="87.07"/>
    <x v="4"/>
  </r>
  <r>
    <x v="4"/>
    <x v="0"/>
    <x v="8"/>
    <x v="1"/>
    <n v="36500"/>
    <n v="11340925.859999999"/>
    <n v="2.86"/>
    <n v="98.22"/>
    <n v="46.72"/>
    <n v="177.9"/>
    <n v="65.83"/>
    <x v="0"/>
  </r>
  <r>
    <x v="4"/>
    <x v="0"/>
    <x v="9"/>
    <x v="1"/>
    <n v="31535"/>
    <n v="75369161.280000001"/>
    <n v="4.8499999999999996"/>
    <n v="103.92"/>
    <n v="6.42"/>
    <n v="256.02999999999997"/>
    <n v="54.7"/>
    <x v="0"/>
  </r>
  <r>
    <x v="4"/>
    <x v="0"/>
    <x v="10"/>
    <x v="1"/>
    <n v="25428"/>
    <n v="41184238.579999998"/>
    <n v="4.9000000000000004"/>
    <n v="78.09"/>
    <n v="24.18"/>
    <n v="262.01"/>
    <n v="54.8"/>
    <x v="3"/>
  </r>
  <r>
    <x v="4"/>
    <x v="0"/>
    <x v="11"/>
    <x v="1"/>
    <n v="58459"/>
    <n v="6197608.4639999997"/>
    <n v="5.29"/>
    <n v="65.56"/>
    <n v="52.82"/>
    <n v="231.91"/>
    <n v="69.150000000000006"/>
    <x v="2"/>
  </r>
  <r>
    <x v="4"/>
    <x v="0"/>
    <x v="12"/>
    <x v="1"/>
    <n v="39916"/>
    <n v="30964782.02"/>
    <n v="5.5299999999999896"/>
    <n v="47.84"/>
    <n v="15.23"/>
    <n v="260.8"/>
    <n v="82.88"/>
    <x v="2"/>
  </r>
  <r>
    <x v="4"/>
    <x v="0"/>
    <x v="13"/>
    <x v="1"/>
    <n v="56785"/>
    <n v="37101918.729999997"/>
    <n v="4.21"/>
    <n v="67.62"/>
    <n v="43.79"/>
    <n v="240.21"/>
    <n v="75.959999999999994"/>
    <x v="0"/>
  </r>
  <r>
    <x v="4"/>
    <x v="0"/>
    <x v="14"/>
    <x v="1"/>
    <n v="11658"/>
    <n v="14130688.68"/>
    <n v="4.8099999999999996"/>
    <n v="64.150000000000006"/>
    <n v="50.51"/>
    <n v="117.92"/>
    <n v="62.56"/>
    <x v="4"/>
  </r>
  <r>
    <x v="4"/>
    <x v="1"/>
    <x v="0"/>
    <x v="0"/>
    <n v="28445"/>
    <n v="23846107.199999999"/>
    <n v="3.99"/>
    <n v="46.8"/>
    <n v="37.909999999999997"/>
    <n v="175.6"/>
    <n v="66.599999999999994"/>
    <x v="4"/>
  </r>
  <r>
    <x v="4"/>
    <x v="1"/>
    <x v="1"/>
    <x v="0"/>
    <n v="12074"/>
    <n v="10953765.789999999"/>
    <n v="1.67"/>
    <n v="65.23"/>
    <n v="47.14"/>
    <n v="106.03"/>
    <n v="70.52"/>
    <x v="4"/>
  </r>
  <r>
    <x v="4"/>
    <x v="1"/>
    <x v="2"/>
    <x v="0"/>
    <n v="24787"/>
    <n v="11158722.59"/>
    <n v="2.93"/>
    <n v="73.150000000000006"/>
    <n v="29.28"/>
    <n v="138"/>
    <n v="68.94"/>
    <x v="4"/>
  </r>
  <r>
    <x v="4"/>
    <x v="1"/>
    <x v="3"/>
    <x v="0"/>
    <n v="40418"/>
    <n v="32030342.59"/>
    <n v="1.77999999999999"/>
    <n v="61.9"/>
    <n v="24.69"/>
    <n v="160.97999999999999"/>
    <n v="45.26"/>
    <x v="3"/>
  </r>
  <r>
    <x v="4"/>
    <x v="1"/>
    <x v="4"/>
    <x v="0"/>
    <n v="34655"/>
    <n v="5500615.1399999997"/>
    <n v="0"/>
    <n v="36.06"/>
    <n v="47.06"/>
    <n v="75.69"/>
    <n v="57.66"/>
    <x v="2"/>
  </r>
  <r>
    <x v="4"/>
    <x v="1"/>
    <x v="5"/>
    <x v="1"/>
    <n v="18720"/>
    <n v="45175723.359999999"/>
    <n v="6.09"/>
    <n v="77.17"/>
    <n v="13.16"/>
    <n v="95.71"/>
    <n v="54.69"/>
    <x v="1"/>
  </r>
  <r>
    <x v="4"/>
    <x v="1"/>
    <x v="6"/>
    <x v="1"/>
    <n v="7111"/>
    <n v="38171299.740000002"/>
    <n v="4.9000000000000004"/>
    <n v="94.2"/>
    <n v="53.26"/>
    <n v="269.75"/>
    <n v="52.92"/>
    <x v="0"/>
  </r>
  <r>
    <x v="4"/>
    <x v="1"/>
    <x v="7"/>
    <x v="1"/>
    <n v="22044"/>
    <n v="31012290.23"/>
    <n v="5.12"/>
    <n v="79.73"/>
    <n v="37.979999999999997"/>
    <n v="63.5"/>
    <n v="81.510000000000005"/>
    <x v="1"/>
  </r>
  <r>
    <x v="4"/>
    <x v="1"/>
    <x v="8"/>
    <x v="1"/>
    <n v="14004"/>
    <n v="7989841.6199999899"/>
    <n v="3.37"/>
    <n v="86.05"/>
    <n v="18.510000000000002"/>
    <n v="249.43"/>
    <n v="45.62"/>
    <x v="3"/>
  </r>
  <r>
    <x v="4"/>
    <x v="1"/>
    <x v="9"/>
    <x v="1"/>
    <n v="55851"/>
    <n v="19401460.379999999"/>
    <n v="5.04"/>
    <n v="98.87"/>
    <n v="14.29"/>
    <n v="187.41"/>
    <n v="45.43"/>
    <x v="1"/>
  </r>
  <r>
    <x v="4"/>
    <x v="1"/>
    <x v="10"/>
    <x v="1"/>
    <n v="43275"/>
    <n v="7555516.4280000003"/>
    <n v="4.18"/>
    <n v="44.77"/>
    <n v="25.77"/>
    <n v="214.9"/>
    <n v="48.3"/>
    <x v="1"/>
  </r>
  <r>
    <x v="4"/>
    <x v="1"/>
    <x v="11"/>
    <x v="1"/>
    <n v="14970"/>
    <n v="18515548.91"/>
    <n v="6.32"/>
    <n v="52.48"/>
    <n v="25"/>
    <n v="57.27"/>
    <n v="51.12"/>
    <x v="1"/>
  </r>
  <r>
    <x v="4"/>
    <x v="1"/>
    <x v="12"/>
    <x v="1"/>
    <n v="37850"/>
    <n v="11674638.720000001"/>
    <n v="6.51"/>
    <n v="65.650000000000006"/>
    <n v="35.799999999999997"/>
    <n v="210.17"/>
    <n v="70.25"/>
    <x v="2"/>
  </r>
  <r>
    <x v="4"/>
    <x v="1"/>
    <x v="13"/>
    <x v="1"/>
    <n v="12105"/>
    <n v="51838068.950000003"/>
    <n v="5.2799999999999896"/>
    <n v="77.760000000000005"/>
    <n v="52.15"/>
    <n v="51.12"/>
    <n v="86.82"/>
    <x v="1"/>
  </r>
  <r>
    <x v="4"/>
    <x v="1"/>
    <x v="14"/>
    <x v="1"/>
    <n v="43400"/>
    <n v="25193544.600000001"/>
    <n v="2.97"/>
    <n v="86.63"/>
    <n v="52.81"/>
    <n v="178.32"/>
    <n v="45.09"/>
    <x v="1"/>
  </r>
  <r>
    <x v="4"/>
    <x v="2"/>
    <x v="0"/>
    <x v="0"/>
    <n v="45735"/>
    <n v="2987436.3840000001"/>
    <n v="0.26"/>
    <n v="50.76"/>
    <n v="9.67"/>
    <n v="280.41000000000003"/>
    <n v="64.86"/>
    <x v="0"/>
  </r>
  <r>
    <x v="4"/>
    <x v="2"/>
    <x v="1"/>
    <x v="0"/>
    <n v="14799"/>
    <n v="4874859.7379999999"/>
    <n v="3.39"/>
    <n v="49.36"/>
    <n v="15.579999999999901"/>
    <n v="220.38"/>
    <n v="51.94"/>
    <x v="2"/>
  </r>
  <r>
    <x v="4"/>
    <x v="2"/>
    <x v="2"/>
    <x v="0"/>
    <n v="42940"/>
    <n v="4424999.4989999998"/>
    <n v="0.59"/>
    <n v="87.76"/>
    <n v="46.41"/>
    <n v="87.57"/>
    <n v="83.22"/>
    <x v="4"/>
  </r>
  <r>
    <x v="4"/>
    <x v="2"/>
    <x v="3"/>
    <x v="0"/>
    <n v="46321"/>
    <n v="12172734.050000001"/>
    <n v="2.5"/>
    <n v="44.49"/>
    <n v="12.73"/>
    <n v="238.14"/>
    <n v="47.82"/>
    <x v="4"/>
  </r>
  <r>
    <x v="4"/>
    <x v="2"/>
    <x v="4"/>
    <x v="0"/>
    <n v="22101"/>
    <n v="45898246.390000001"/>
    <n v="0.35"/>
    <n v="38.79"/>
    <n v="27.92"/>
    <n v="77.87"/>
    <n v="49.98"/>
    <x v="4"/>
  </r>
  <r>
    <x v="4"/>
    <x v="2"/>
    <x v="5"/>
    <x v="1"/>
    <n v="18578"/>
    <n v="35842354.880000003"/>
    <n v="5.27"/>
    <n v="41.64"/>
    <n v="13.95"/>
    <n v="192.01"/>
    <n v="73.64"/>
    <x v="3"/>
  </r>
  <r>
    <x v="4"/>
    <x v="2"/>
    <x v="6"/>
    <x v="1"/>
    <n v="63804"/>
    <n v="26099538.280000001"/>
    <n v="2.5299999999999998"/>
    <n v="49.54"/>
    <n v="36.479999999999997"/>
    <n v="168.21"/>
    <n v="88.53"/>
    <x v="3"/>
  </r>
  <r>
    <x v="4"/>
    <x v="2"/>
    <x v="7"/>
    <x v="1"/>
    <n v="60353"/>
    <n v="10771600.5239999"/>
    <n v="3.43"/>
    <n v="67.709999999999994"/>
    <n v="35.68"/>
    <n v="79.34"/>
    <n v="58.28"/>
    <x v="3"/>
  </r>
  <r>
    <x v="4"/>
    <x v="2"/>
    <x v="8"/>
    <x v="1"/>
    <n v="56014"/>
    <n v="38203293.829999998"/>
    <n v="5.04"/>
    <n v="92.55"/>
    <n v="22.12"/>
    <n v="50.37"/>
    <n v="45.65"/>
    <x v="0"/>
  </r>
  <r>
    <x v="4"/>
    <x v="2"/>
    <x v="9"/>
    <x v="1"/>
    <n v="30009"/>
    <n v="27935761.68"/>
    <n v="5.49"/>
    <n v="48.11"/>
    <n v="22.61"/>
    <n v="157"/>
    <n v="94.16"/>
    <x v="4"/>
  </r>
  <r>
    <x v="4"/>
    <x v="2"/>
    <x v="10"/>
    <x v="1"/>
    <n v="11176"/>
    <n v="41387013.969999999"/>
    <n v="6.52"/>
    <n v="59.53"/>
    <n v="7.3599999999999897"/>
    <n v="246.52"/>
    <n v="46.97"/>
    <x v="3"/>
  </r>
  <r>
    <x v="4"/>
    <x v="2"/>
    <x v="11"/>
    <x v="1"/>
    <n v="35816"/>
    <n v="11652906.140000001"/>
    <n v="6.83"/>
    <n v="52.51"/>
    <n v="23.96"/>
    <n v="85.44"/>
    <n v="54.57"/>
    <x v="3"/>
  </r>
  <r>
    <x v="4"/>
    <x v="2"/>
    <x v="12"/>
    <x v="1"/>
    <n v="51399"/>
    <n v="42332669.411999904"/>
    <n v="4.71"/>
    <n v="77.37"/>
    <n v="33.159999999999997"/>
    <n v="212.73"/>
    <n v="87.94"/>
    <x v="1"/>
  </r>
  <r>
    <x v="4"/>
    <x v="2"/>
    <x v="13"/>
    <x v="1"/>
    <n v="25724"/>
    <n v="4967036.6160000004"/>
    <n v="2.8"/>
    <n v="102.38"/>
    <n v="45.67"/>
    <n v="52.28"/>
    <n v="75.87"/>
    <x v="0"/>
  </r>
  <r>
    <x v="4"/>
    <x v="2"/>
    <x v="14"/>
    <x v="1"/>
    <n v="19229"/>
    <n v="37535867.520000003"/>
    <n v="6.95"/>
    <n v="71.89"/>
    <n v="44.75"/>
    <n v="122.87"/>
    <n v="91.72"/>
    <x v="1"/>
  </r>
  <r>
    <x v="4"/>
    <x v="3"/>
    <x v="0"/>
    <x v="0"/>
    <n v="40560"/>
    <n v="10240842.15"/>
    <n v="1.06"/>
    <n v="40.090000000000003"/>
    <n v="30.86"/>
    <n v="154.81"/>
    <n v="68.239999999999995"/>
    <x v="3"/>
  </r>
  <r>
    <x v="4"/>
    <x v="3"/>
    <x v="1"/>
    <x v="0"/>
    <n v="35697"/>
    <n v="19462564.98"/>
    <n v="2.4900000000000002"/>
    <n v="36.549999999999997"/>
    <n v="36.44"/>
    <n v="236.39"/>
    <n v="47.11"/>
    <x v="3"/>
  </r>
  <r>
    <x v="4"/>
    <x v="3"/>
    <x v="2"/>
    <x v="0"/>
    <n v="47421"/>
    <n v="4828393.0619999999"/>
    <n v="0.34"/>
    <n v="69.319999999999993"/>
    <n v="14.16"/>
    <n v="174.21"/>
    <n v="73.78"/>
    <x v="1"/>
  </r>
  <r>
    <x v="4"/>
    <x v="3"/>
    <x v="3"/>
    <x v="0"/>
    <n v="36328"/>
    <n v="33957658.93"/>
    <n v="1.68"/>
    <n v="25.34"/>
    <n v="10.88"/>
    <n v="248.93"/>
    <n v="80.819999999999993"/>
    <x v="2"/>
  </r>
  <r>
    <x v="4"/>
    <x v="3"/>
    <x v="4"/>
    <x v="0"/>
    <n v="7177"/>
    <n v="12756979.869999999"/>
    <n v="3.84"/>
    <n v="83.21"/>
    <n v="46.58"/>
    <n v="244.75"/>
    <n v="58.59"/>
    <x v="1"/>
  </r>
  <r>
    <x v="4"/>
    <x v="3"/>
    <x v="5"/>
    <x v="1"/>
    <n v="26543"/>
    <n v="22616882.710000001"/>
    <n v="6.92"/>
    <n v="47.63"/>
    <n v="35.93"/>
    <n v="142.99"/>
    <n v="65.489999999999995"/>
    <x v="4"/>
  </r>
  <r>
    <x v="4"/>
    <x v="3"/>
    <x v="6"/>
    <x v="1"/>
    <n v="56191"/>
    <n v="12240588.060000001"/>
    <n v="6.71"/>
    <n v="72.16"/>
    <n v="7.12"/>
    <n v="152.26"/>
    <n v="87.72"/>
    <x v="0"/>
  </r>
  <r>
    <x v="4"/>
    <x v="3"/>
    <x v="7"/>
    <x v="1"/>
    <n v="31159"/>
    <n v="41780958.789999999"/>
    <n v="4.5599999999999996"/>
    <n v="79.39"/>
    <n v="20.12"/>
    <n v="294.91000000000003"/>
    <n v="53.57"/>
    <x v="2"/>
  </r>
  <r>
    <x v="4"/>
    <x v="3"/>
    <x v="8"/>
    <x v="1"/>
    <n v="61064"/>
    <n v="65387195.350000001"/>
    <n v="5.49"/>
    <n v="85.64"/>
    <n v="26.68"/>
    <n v="170.74"/>
    <n v="59.27"/>
    <x v="0"/>
  </r>
  <r>
    <x v="4"/>
    <x v="3"/>
    <x v="9"/>
    <x v="1"/>
    <n v="34138"/>
    <n v="54539172.82"/>
    <n v="5.92"/>
    <n v="98.31"/>
    <n v="21.34"/>
    <n v="195.17"/>
    <n v="79.73"/>
    <x v="0"/>
  </r>
  <r>
    <x v="4"/>
    <x v="3"/>
    <x v="10"/>
    <x v="1"/>
    <n v="36216"/>
    <n v="29959374.23"/>
    <n v="3.82"/>
    <n v="70.59"/>
    <n v="46.92"/>
    <n v="177.43"/>
    <n v="63.86"/>
    <x v="1"/>
  </r>
  <r>
    <x v="4"/>
    <x v="3"/>
    <x v="11"/>
    <x v="1"/>
    <n v="56470"/>
    <n v="29368072.66"/>
    <n v="5.15"/>
    <n v="71.88"/>
    <n v="21.15"/>
    <n v="192.3"/>
    <n v="46.87"/>
    <x v="3"/>
  </r>
  <r>
    <x v="4"/>
    <x v="3"/>
    <x v="12"/>
    <x v="1"/>
    <n v="50544"/>
    <n v="43782286.43"/>
    <n v="4.6399999999999997"/>
    <n v="96.7"/>
    <n v="13.78"/>
    <n v="184.26"/>
    <n v="51.56"/>
    <x v="3"/>
  </r>
  <r>
    <x v="4"/>
    <x v="3"/>
    <x v="13"/>
    <x v="1"/>
    <n v="8752"/>
    <n v="38989375.219999999"/>
    <n v="2.66"/>
    <n v="83.21"/>
    <n v="28.99"/>
    <n v="286.82"/>
    <n v="62.63"/>
    <x v="4"/>
  </r>
  <r>
    <x v="4"/>
    <x v="3"/>
    <x v="14"/>
    <x v="1"/>
    <n v="52161"/>
    <n v="28251610.309999999"/>
    <n v="4.47"/>
    <n v="63.99"/>
    <n v="48.56"/>
    <n v="255.02"/>
    <n v="48.38"/>
    <x v="2"/>
  </r>
  <r>
    <x v="4"/>
    <x v="0"/>
    <x v="0"/>
    <x v="0"/>
    <n v="40947"/>
    <n v="29431350.050000001"/>
    <n v="2.29"/>
    <n v="31.64"/>
    <n v="20.82"/>
    <n v="272.01"/>
    <n v="80.790000000000006"/>
    <x v="4"/>
  </r>
  <r>
    <x v="4"/>
    <x v="0"/>
    <x v="1"/>
    <x v="0"/>
    <n v="14664"/>
    <n v="15195950.99"/>
    <n v="1.66"/>
    <n v="62.66"/>
    <n v="1.47"/>
    <n v="171.98"/>
    <n v="74.11"/>
    <x v="3"/>
  </r>
  <r>
    <x v="4"/>
    <x v="0"/>
    <x v="2"/>
    <x v="0"/>
    <n v="43817"/>
    <n v="24176526.140000001"/>
    <n v="2.4500000000000002"/>
    <n v="48.62"/>
    <n v="20.28"/>
    <n v="175.27"/>
    <n v="73.89"/>
    <x v="4"/>
  </r>
  <r>
    <x v="4"/>
    <x v="0"/>
    <x v="3"/>
    <x v="0"/>
    <n v="41459"/>
    <n v="13687954.880000001"/>
    <n v="-0.11"/>
    <n v="62.18"/>
    <n v="11.77"/>
    <n v="287.5"/>
    <n v="41.54"/>
    <x v="1"/>
  </r>
  <r>
    <x v="4"/>
    <x v="0"/>
    <x v="4"/>
    <x v="0"/>
    <n v="32918"/>
    <n v="22481075.41"/>
    <n v="1.86"/>
    <n v="81.72"/>
    <n v="33.4"/>
    <n v="108.49"/>
    <n v="65.459999999999994"/>
    <x v="3"/>
  </r>
  <r>
    <x v="4"/>
    <x v="0"/>
    <x v="5"/>
    <x v="1"/>
    <n v="42266"/>
    <n v="25950100.260000002"/>
    <n v="6.02"/>
    <n v="55.39"/>
    <n v="39.53"/>
    <n v="262.25"/>
    <n v="45.63"/>
    <x v="0"/>
  </r>
  <r>
    <x v="4"/>
    <x v="0"/>
    <x v="6"/>
    <x v="1"/>
    <n v="35503"/>
    <n v="31844795.27"/>
    <n v="3.87"/>
    <n v="85.47"/>
    <n v="48.17"/>
    <n v="262.83999999999997"/>
    <n v="68"/>
    <x v="0"/>
  </r>
  <r>
    <x v="4"/>
    <x v="0"/>
    <x v="7"/>
    <x v="1"/>
    <n v="47694"/>
    <n v="18903891.32"/>
    <n v="5.9"/>
    <n v="62.48"/>
    <n v="29.12"/>
    <n v="227.77"/>
    <n v="87.07"/>
    <x v="4"/>
  </r>
  <r>
    <x v="4"/>
    <x v="0"/>
    <x v="8"/>
    <x v="1"/>
    <n v="36500"/>
    <n v="11340925.859999999"/>
    <n v="2.86"/>
    <n v="98.22"/>
    <n v="46.72"/>
    <n v="177.9"/>
    <n v="65.83"/>
    <x v="0"/>
  </r>
  <r>
    <x v="4"/>
    <x v="0"/>
    <x v="9"/>
    <x v="1"/>
    <n v="31535"/>
    <n v="75369161.280000001"/>
    <n v="4.8499999999999996"/>
    <n v="103.92"/>
    <n v="6.42"/>
    <n v="256.02999999999997"/>
    <n v="54.7"/>
    <x v="0"/>
  </r>
  <r>
    <x v="4"/>
    <x v="0"/>
    <x v="10"/>
    <x v="1"/>
    <n v="25428"/>
    <n v="41184238.579999998"/>
    <n v="4.9000000000000004"/>
    <n v="78.09"/>
    <n v="24.18"/>
    <n v="262.01"/>
    <n v="54.8"/>
    <x v="3"/>
  </r>
  <r>
    <x v="4"/>
    <x v="0"/>
    <x v="11"/>
    <x v="1"/>
    <n v="58459"/>
    <n v="6197608.4639999997"/>
    <n v="5.29"/>
    <n v="65.56"/>
    <n v="52.82"/>
    <n v="231.91"/>
    <n v="69.150000000000006"/>
    <x v="2"/>
  </r>
  <r>
    <x v="4"/>
    <x v="0"/>
    <x v="12"/>
    <x v="1"/>
    <n v="39916"/>
    <n v="30964782.02"/>
    <n v="5.5299999999999896"/>
    <n v="47.84"/>
    <n v="15.23"/>
    <n v="260.8"/>
    <n v="82.88"/>
    <x v="2"/>
  </r>
  <r>
    <x v="4"/>
    <x v="0"/>
    <x v="13"/>
    <x v="1"/>
    <n v="56785"/>
    <n v="37101918.729999997"/>
    <n v="4.21"/>
    <n v="67.62"/>
    <n v="43.79"/>
    <n v="240.21"/>
    <n v="75.959999999999994"/>
    <x v="0"/>
  </r>
  <r>
    <x v="4"/>
    <x v="0"/>
    <x v="14"/>
    <x v="1"/>
    <n v="11658"/>
    <n v="14130688.68"/>
    <n v="4.8099999999999996"/>
    <n v="64.150000000000006"/>
    <n v="50.51"/>
    <n v="117.92"/>
    <n v="62.56"/>
    <x v="4"/>
  </r>
  <r>
    <x v="4"/>
    <x v="1"/>
    <x v="0"/>
    <x v="0"/>
    <n v="28445"/>
    <n v="23846107.199999999"/>
    <n v="3.99"/>
    <n v="46.8"/>
    <n v="37.909999999999997"/>
    <n v="175.6"/>
    <n v="66.599999999999994"/>
    <x v="4"/>
  </r>
  <r>
    <x v="4"/>
    <x v="1"/>
    <x v="1"/>
    <x v="0"/>
    <n v="12074"/>
    <n v="10953765.789999999"/>
    <n v="1.67"/>
    <n v="65.23"/>
    <n v="47.14"/>
    <n v="106.03"/>
    <n v="70.52"/>
    <x v="4"/>
  </r>
  <r>
    <x v="4"/>
    <x v="1"/>
    <x v="2"/>
    <x v="0"/>
    <n v="24787"/>
    <n v="11158722.59"/>
    <n v="2.93"/>
    <n v="73.150000000000006"/>
    <n v="29.28"/>
    <n v="138"/>
    <n v="68.94"/>
    <x v="4"/>
  </r>
  <r>
    <x v="4"/>
    <x v="1"/>
    <x v="3"/>
    <x v="0"/>
    <n v="40418"/>
    <n v="32030342.59"/>
    <n v="1.77999999999999"/>
    <n v="61.9"/>
    <n v="24.69"/>
    <n v="160.97999999999999"/>
    <n v="45.26"/>
    <x v="3"/>
  </r>
  <r>
    <x v="4"/>
    <x v="1"/>
    <x v="4"/>
    <x v="0"/>
    <n v="34655"/>
    <n v="5500615.1399999997"/>
    <n v="0"/>
    <n v="36.06"/>
    <n v="47.06"/>
    <n v="75.69"/>
    <n v="57.66"/>
    <x v="2"/>
  </r>
  <r>
    <x v="4"/>
    <x v="1"/>
    <x v="5"/>
    <x v="1"/>
    <n v="18720"/>
    <n v="45175723.359999999"/>
    <n v="6.09"/>
    <n v="77.17"/>
    <n v="13.16"/>
    <n v="95.71"/>
    <n v="54.69"/>
    <x v="1"/>
  </r>
  <r>
    <x v="4"/>
    <x v="1"/>
    <x v="6"/>
    <x v="1"/>
    <n v="7111"/>
    <n v="38171299.740000002"/>
    <n v="4.9000000000000004"/>
    <n v="94.2"/>
    <n v="53.26"/>
    <n v="269.75"/>
    <n v="52.92"/>
    <x v="0"/>
  </r>
  <r>
    <x v="4"/>
    <x v="1"/>
    <x v="7"/>
    <x v="1"/>
    <n v="22044"/>
    <n v="31012290.23"/>
    <n v="5.12"/>
    <n v="79.73"/>
    <n v="37.979999999999997"/>
    <n v="63.5"/>
    <n v="81.510000000000005"/>
    <x v="1"/>
  </r>
  <r>
    <x v="4"/>
    <x v="1"/>
    <x v="8"/>
    <x v="1"/>
    <n v="14004"/>
    <n v="7989841.6199999899"/>
    <n v="3.37"/>
    <n v="86.05"/>
    <n v="18.510000000000002"/>
    <n v="249.43"/>
    <n v="45.62"/>
    <x v="3"/>
  </r>
  <r>
    <x v="4"/>
    <x v="1"/>
    <x v="9"/>
    <x v="1"/>
    <n v="55851"/>
    <n v="19401460.379999999"/>
    <n v="5.04"/>
    <n v="98.87"/>
    <n v="14.29"/>
    <n v="187.41"/>
    <n v="45.43"/>
    <x v="1"/>
  </r>
  <r>
    <x v="4"/>
    <x v="1"/>
    <x v="10"/>
    <x v="1"/>
    <n v="43275"/>
    <n v="7555516.4280000003"/>
    <n v="4.18"/>
    <n v="44.77"/>
    <n v="25.77"/>
    <n v="214.9"/>
    <n v="48.3"/>
    <x v="1"/>
  </r>
  <r>
    <x v="4"/>
    <x v="1"/>
    <x v="11"/>
    <x v="1"/>
    <n v="14970"/>
    <n v="18515548.91"/>
    <n v="6.32"/>
    <n v="52.48"/>
    <n v="25"/>
    <n v="57.27"/>
    <n v="51.12"/>
    <x v="1"/>
  </r>
  <r>
    <x v="4"/>
    <x v="1"/>
    <x v="12"/>
    <x v="1"/>
    <n v="37850"/>
    <n v="11674638.720000001"/>
    <n v="6.51"/>
    <n v="65.650000000000006"/>
    <n v="35.799999999999997"/>
    <n v="210.17"/>
    <n v="70.25"/>
    <x v="2"/>
  </r>
  <r>
    <x v="4"/>
    <x v="1"/>
    <x v="13"/>
    <x v="1"/>
    <n v="12105"/>
    <n v="51838068.950000003"/>
    <n v="5.2799999999999896"/>
    <n v="77.760000000000005"/>
    <n v="52.15"/>
    <n v="51.12"/>
    <n v="86.82"/>
    <x v="1"/>
  </r>
  <r>
    <x v="4"/>
    <x v="1"/>
    <x v="14"/>
    <x v="1"/>
    <n v="43400"/>
    <n v="25193544.600000001"/>
    <n v="2.97"/>
    <n v="86.63"/>
    <n v="52.81"/>
    <n v="178.32"/>
    <n v="45.09"/>
    <x v="1"/>
  </r>
  <r>
    <x v="4"/>
    <x v="2"/>
    <x v="0"/>
    <x v="0"/>
    <n v="45735"/>
    <n v="2987436.3840000001"/>
    <n v="0.26"/>
    <n v="50.76"/>
    <n v="9.67"/>
    <n v="280.41000000000003"/>
    <n v="64.86"/>
    <x v="0"/>
  </r>
  <r>
    <x v="4"/>
    <x v="2"/>
    <x v="1"/>
    <x v="0"/>
    <n v="14799"/>
    <n v="4874859.7379999999"/>
    <n v="3.39"/>
    <n v="49.36"/>
    <n v="15.579999999999901"/>
    <n v="220.38"/>
    <n v="51.94"/>
    <x v="2"/>
  </r>
  <r>
    <x v="4"/>
    <x v="2"/>
    <x v="2"/>
    <x v="0"/>
    <n v="42940"/>
    <n v="4424999.4989999998"/>
    <n v="0.59"/>
    <n v="87.76"/>
    <n v="46.41"/>
    <n v="87.57"/>
    <n v="83.22"/>
    <x v="4"/>
  </r>
  <r>
    <x v="4"/>
    <x v="2"/>
    <x v="3"/>
    <x v="0"/>
    <n v="46321"/>
    <n v="12172734.050000001"/>
    <n v="2.5"/>
    <n v="44.49"/>
    <n v="12.73"/>
    <n v="238.14"/>
    <n v="47.82"/>
    <x v="4"/>
  </r>
  <r>
    <x v="4"/>
    <x v="2"/>
    <x v="4"/>
    <x v="0"/>
    <n v="22101"/>
    <n v="45898246.390000001"/>
    <n v="0.35"/>
    <n v="38.79"/>
    <n v="27.92"/>
    <n v="77.87"/>
    <n v="49.98"/>
    <x v="4"/>
  </r>
  <r>
    <x v="4"/>
    <x v="2"/>
    <x v="5"/>
    <x v="1"/>
    <n v="18578"/>
    <n v="35842354.880000003"/>
    <n v="5.27"/>
    <n v="41.64"/>
    <n v="13.95"/>
    <n v="192.01"/>
    <n v="73.64"/>
    <x v="3"/>
  </r>
  <r>
    <x v="4"/>
    <x v="2"/>
    <x v="6"/>
    <x v="1"/>
    <n v="63804"/>
    <n v="26099538.280000001"/>
    <n v="2.5299999999999998"/>
    <n v="49.54"/>
    <n v="36.479999999999997"/>
    <n v="168.21"/>
    <n v="88.53"/>
    <x v="3"/>
  </r>
  <r>
    <x v="4"/>
    <x v="2"/>
    <x v="7"/>
    <x v="1"/>
    <n v="60353"/>
    <n v="10771600.5239999"/>
    <n v="3.43"/>
    <n v="67.709999999999994"/>
    <n v="35.68"/>
    <n v="79.34"/>
    <n v="58.28"/>
    <x v="3"/>
  </r>
  <r>
    <x v="4"/>
    <x v="2"/>
    <x v="8"/>
    <x v="1"/>
    <n v="56014"/>
    <n v="38203293.829999998"/>
    <n v="5.04"/>
    <n v="92.55"/>
    <n v="22.12"/>
    <n v="50.37"/>
    <n v="45.65"/>
    <x v="0"/>
  </r>
  <r>
    <x v="4"/>
    <x v="2"/>
    <x v="9"/>
    <x v="1"/>
    <n v="30009"/>
    <n v="27935761.68"/>
    <n v="5.49"/>
    <n v="48.11"/>
    <n v="22.61"/>
    <n v="157"/>
    <n v="94.16"/>
    <x v="4"/>
  </r>
  <r>
    <x v="4"/>
    <x v="2"/>
    <x v="10"/>
    <x v="1"/>
    <n v="11176"/>
    <n v="41387013.969999999"/>
    <n v="6.52"/>
    <n v="59.53"/>
    <n v="7.3599999999999897"/>
    <n v="246.52"/>
    <n v="46.97"/>
    <x v="3"/>
  </r>
  <r>
    <x v="4"/>
    <x v="2"/>
    <x v="11"/>
    <x v="1"/>
    <n v="35816"/>
    <n v="11652906.140000001"/>
    <n v="6.83"/>
    <n v="52.51"/>
    <n v="23.96"/>
    <n v="85.44"/>
    <n v="54.57"/>
    <x v="3"/>
  </r>
  <r>
    <x v="4"/>
    <x v="2"/>
    <x v="12"/>
    <x v="1"/>
    <n v="51399"/>
    <n v="42332669.411999904"/>
    <n v="4.71"/>
    <n v="77.37"/>
    <n v="33.159999999999997"/>
    <n v="212.73"/>
    <n v="87.94"/>
    <x v="1"/>
  </r>
  <r>
    <x v="4"/>
    <x v="2"/>
    <x v="13"/>
    <x v="1"/>
    <n v="25724"/>
    <n v="4967036.6160000004"/>
    <n v="2.8"/>
    <n v="102.38"/>
    <n v="45.67"/>
    <n v="52.28"/>
    <n v="75.87"/>
    <x v="0"/>
  </r>
  <r>
    <x v="4"/>
    <x v="2"/>
    <x v="14"/>
    <x v="1"/>
    <n v="19229"/>
    <n v="37535867.520000003"/>
    <n v="6.95"/>
    <n v="71.89"/>
    <n v="44.75"/>
    <n v="122.87"/>
    <n v="91.72"/>
    <x v="1"/>
  </r>
  <r>
    <x v="4"/>
    <x v="3"/>
    <x v="0"/>
    <x v="0"/>
    <n v="40560"/>
    <n v="10240842.15"/>
    <n v="1.06"/>
    <n v="40.090000000000003"/>
    <n v="30.86"/>
    <n v="154.81"/>
    <n v="68.239999999999995"/>
    <x v="3"/>
  </r>
  <r>
    <x v="4"/>
    <x v="3"/>
    <x v="1"/>
    <x v="0"/>
    <n v="35697"/>
    <n v="19462564.98"/>
    <n v="2.4900000000000002"/>
    <n v="36.549999999999997"/>
    <n v="36.44"/>
    <n v="236.39"/>
    <n v="47.11"/>
    <x v="3"/>
  </r>
  <r>
    <x v="4"/>
    <x v="3"/>
    <x v="2"/>
    <x v="0"/>
    <n v="47421"/>
    <n v="4828393.0619999999"/>
    <n v="0.34"/>
    <n v="69.319999999999993"/>
    <n v="14.16"/>
    <n v="174.21"/>
    <n v="73.78"/>
    <x v="1"/>
  </r>
  <r>
    <x v="4"/>
    <x v="3"/>
    <x v="3"/>
    <x v="0"/>
    <n v="36328"/>
    <n v="33957658.93"/>
    <n v="1.68"/>
    <n v="25.34"/>
    <n v="10.88"/>
    <n v="248.93"/>
    <n v="80.819999999999993"/>
    <x v="2"/>
  </r>
  <r>
    <x v="4"/>
    <x v="3"/>
    <x v="4"/>
    <x v="0"/>
    <n v="7177"/>
    <n v="12756979.869999999"/>
    <n v="3.84"/>
    <n v="83.21"/>
    <n v="46.58"/>
    <n v="244.75"/>
    <n v="58.59"/>
    <x v="1"/>
  </r>
  <r>
    <x v="4"/>
    <x v="3"/>
    <x v="5"/>
    <x v="1"/>
    <n v="26543"/>
    <n v="22616882.710000001"/>
    <n v="6.92"/>
    <n v="47.63"/>
    <n v="35.93"/>
    <n v="142.99"/>
    <n v="65.489999999999995"/>
    <x v="4"/>
  </r>
  <r>
    <x v="4"/>
    <x v="3"/>
    <x v="6"/>
    <x v="1"/>
    <n v="56191"/>
    <n v="12240588.060000001"/>
    <n v="6.71"/>
    <n v="72.16"/>
    <n v="7.12"/>
    <n v="152.26"/>
    <n v="87.72"/>
    <x v="0"/>
  </r>
  <r>
    <x v="4"/>
    <x v="3"/>
    <x v="7"/>
    <x v="1"/>
    <n v="31159"/>
    <n v="41780958.789999999"/>
    <n v="4.5599999999999996"/>
    <n v="79.39"/>
    <n v="20.12"/>
    <n v="294.91000000000003"/>
    <n v="53.57"/>
    <x v="2"/>
  </r>
  <r>
    <x v="4"/>
    <x v="3"/>
    <x v="8"/>
    <x v="1"/>
    <n v="61064"/>
    <n v="65387195.350000001"/>
    <n v="5.49"/>
    <n v="85.64"/>
    <n v="26.68"/>
    <n v="170.74"/>
    <n v="59.27"/>
    <x v="0"/>
  </r>
  <r>
    <x v="4"/>
    <x v="3"/>
    <x v="9"/>
    <x v="1"/>
    <n v="34138"/>
    <n v="54539172.82"/>
    <n v="5.92"/>
    <n v="98.31"/>
    <n v="21.34"/>
    <n v="195.17"/>
    <n v="79.73"/>
    <x v="0"/>
  </r>
  <r>
    <x v="4"/>
    <x v="3"/>
    <x v="10"/>
    <x v="1"/>
    <n v="36216"/>
    <n v="29959374.23"/>
    <n v="3.82"/>
    <n v="70.59"/>
    <n v="46.92"/>
    <n v="177.43"/>
    <n v="63.86"/>
    <x v="1"/>
  </r>
  <r>
    <x v="4"/>
    <x v="3"/>
    <x v="11"/>
    <x v="1"/>
    <n v="56470"/>
    <n v="29368072.66"/>
    <n v="5.15"/>
    <n v="71.88"/>
    <n v="21.15"/>
    <n v="192.3"/>
    <n v="46.87"/>
    <x v="3"/>
  </r>
  <r>
    <x v="4"/>
    <x v="3"/>
    <x v="12"/>
    <x v="1"/>
    <n v="50544"/>
    <n v="43782286.43"/>
    <n v="4.6399999999999997"/>
    <n v="96.7"/>
    <n v="13.78"/>
    <n v="184.26"/>
    <n v="51.56"/>
    <x v="3"/>
  </r>
  <r>
    <x v="4"/>
    <x v="3"/>
    <x v="13"/>
    <x v="1"/>
    <n v="8752"/>
    <n v="38989375.219999999"/>
    <n v="2.66"/>
    <n v="83.21"/>
    <n v="28.99"/>
    <n v="286.82"/>
    <n v="62.63"/>
    <x v="4"/>
  </r>
  <r>
    <x v="4"/>
    <x v="3"/>
    <x v="14"/>
    <x v="1"/>
    <n v="52161"/>
    <n v="28251610.309999999"/>
    <n v="4.47"/>
    <n v="63.99"/>
    <n v="48.56"/>
    <n v="255.02"/>
    <n v="48.38"/>
    <x v="2"/>
  </r>
  <r>
    <x v="4"/>
    <x v="1"/>
    <x v="2"/>
    <x v="0"/>
    <n v="24787"/>
    <n v="11158722.59"/>
    <n v="2.93"/>
    <n v="73.150000000000006"/>
    <n v="29.28"/>
    <n v="138"/>
    <n v="68.94"/>
    <x v="4"/>
  </r>
  <r>
    <x v="4"/>
    <x v="3"/>
    <x v="2"/>
    <x v="0"/>
    <n v="47421"/>
    <n v="4828393.0619999999"/>
    <n v="0.34"/>
    <n v="69.319999999999993"/>
    <n v="14.16"/>
    <n v="174.21"/>
    <n v="73.78"/>
    <x v="1"/>
  </r>
  <r>
    <x v="4"/>
    <x v="0"/>
    <x v="3"/>
    <x v="0"/>
    <n v="41459"/>
    <n v="13687954.880000001"/>
    <n v="-0.11"/>
    <n v="62.18"/>
    <n v="11.77"/>
    <n v="287.5"/>
    <n v="41.54"/>
    <x v="1"/>
  </r>
  <r>
    <x v="4"/>
    <x v="0"/>
    <x v="6"/>
    <x v="1"/>
    <n v="35503"/>
    <n v="31844795.27"/>
    <n v="3.87"/>
    <n v="85.47"/>
    <n v="48.17"/>
    <n v="262.83999999999997"/>
    <n v="68"/>
    <x v="0"/>
  </r>
  <r>
    <x v="4"/>
    <x v="3"/>
    <x v="9"/>
    <x v="1"/>
    <n v="34138"/>
    <n v="54539172.82"/>
    <n v="5.92"/>
    <n v="98.31"/>
    <n v="21.34"/>
    <n v="195.17"/>
    <n v="79.73"/>
    <x v="0"/>
  </r>
  <r>
    <x v="4"/>
    <x v="2"/>
    <x v="1"/>
    <x v="0"/>
    <n v="14799"/>
    <n v="4874859.7379999999"/>
    <n v="3.39"/>
    <n v="49.36"/>
    <n v="15.579999999999901"/>
    <n v="220.38"/>
    <n v="51.94"/>
    <x v="2"/>
  </r>
  <r>
    <x v="4"/>
    <x v="1"/>
    <x v="3"/>
    <x v="0"/>
    <n v="40418"/>
    <n v="32030342.59"/>
    <n v="1.77999999999999"/>
    <n v="61.9"/>
    <n v="24.69"/>
    <n v="160.97999999999999"/>
    <n v="45.26"/>
    <x v="3"/>
  </r>
  <r>
    <x v="4"/>
    <x v="2"/>
    <x v="5"/>
    <x v="1"/>
    <n v="18578"/>
    <n v="35842354.880000003"/>
    <n v="5.27"/>
    <n v="41.64"/>
    <n v="13.95"/>
    <n v="192.01"/>
    <n v="73.64"/>
    <x v="3"/>
  </r>
  <r>
    <x v="4"/>
    <x v="1"/>
    <x v="2"/>
    <x v="0"/>
    <n v="24787"/>
    <n v="11158722.59"/>
    <n v="2.93"/>
    <n v="73.150000000000006"/>
    <n v="29.28"/>
    <n v="138"/>
    <n v="68.94"/>
    <x v="4"/>
  </r>
  <r>
    <x v="4"/>
    <x v="0"/>
    <x v="1"/>
    <x v="0"/>
    <n v="14664"/>
    <n v="15195950.99"/>
    <n v="1.66"/>
    <n v="62.66"/>
    <n v="1.47"/>
    <n v="171.98"/>
    <n v="74.11"/>
    <x v="3"/>
  </r>
  <r>
    <x v="4"/>
    <x v="1"/>
    <x v="0"/>
    <x v="0"/>
    <n v="28445"/>
    <n v="23846107.199999999"/>
    <n v="3.99"/>
    <n v="46.8"/>
    <n v="37.909999999999997"/>
    <n v="175.6"/>
    <n v="66.599999999999994"/>
    <x v="4"/>
  </r>
  <r>
    <x v="4"/>
    <x v="3"/>
    <x v="9"/>
    <x v="1"/>
    <n v="34138"/>
    <n v="54539172.82"/>
    <n v="5.92"/>
    <n v="98.31"/>
    <n v="21.34"/>
    <n v="195.17"/>
    <n v="79.73"/>
    <x v="0"/>
  </r>
  <r>
    <x v="4"/>
    <x v="2"/>
    <x v="9"/>
    <x v="1"/>
    <n v="30009"/>
    <n v="27935761.68"/>
    <n v="5.49"/>
    <n v="48.11"/>
    <n v="22.61"/>
    <n v="157"/>
    <n v="94.16"/>
    <x v="4"/>
  </r>
  <r>
    <x v="4"/>
    <x v="2"/>
    <x v="12"/>
    <x v="1"/>
    <n v="51399"/>
    <n v="42332669.411999904"/>
    <n v="4.71"/>
    <n v="77.37"/>
    <n v="33.159999999999997"/>
    <n v="212.73"/>
    <n v="87.94"/>
    <x v="1"/>
  </r>
  <r>
    <x v="4"/>
    <x v="2"/>
    <x v="5"/>
    <x v="1"/>
    <n v="18578"/>
    <n v="35842354.880000003"/>
    <n v="5.27"/>
    <n v="41.64"/>
    <n v="13.95"/>
    <n v="192.01"/>
    <n v="73.64"/>
    <x v="3"/>
  </r>
  <r>
    <x v="4"/>
    <x v="1"/>
    <x v="3"/>
    <x v="0"/>
    <n v="40418"/>
    <n v="32030342.59"/>
    <n v="1.77999999999999"/>
    <n v="61.9"/>
    <n v="24.69"/>
    <n v="160.97999999999999"/>
    <n v="45.26"/>
    <x v="3"/>
  </r>
  <r>
    <x v="4"/>
    <x v="0"/>
    <x v="6"/>
    <x v="1"/>
    <n v="35503"/>
    <n v="31844795.27"/>
    <n v="3.87"/>
    <n v="85.47"/>
    <n v="48.17"/>
    <n v="262.83999999999997"/>
    <n v="68"/>
    <x v="0"/>
  </r>
  <r>
    <x v="4"/>
    <x v="2"/>
    <x v="11"/>
    <x v="1"/>
    <n v="35816"/>
    <n v="11652906.140000001"/>
    <n v="6.83"/>
    <n v="52.51"/>
    <n v="23.96"/>
    <n v="85.44"/>
    <n v="54.57"/>
    <x v="3"/>
  </r>
  <r>
    <x v="4"/>
    <x v="0"/>
    <x v="10"/>
    <x v="1"/>
    <n v="25428"/>
    <n v="41184238.579999998"/>
    <n v="4.9000000000000004"/>
    <n v="78.09"/>
    <n v="24.18"/>
    <n v="262.01"/>
    <n v="54.8"/>
    <x v="3"/>
  </r>
  <r>
    <x v="4"/>
    <x v="3"/>
    <x v="8"/>
    <x v="1"/>
    <n v="61064"/>
    <n v="65387195.350000001"/>
    <n v="5.49"/>
    <n v="85.64"/>
    <n v="26.68"/>
    <n v="170.74"/>
    <n v="59.27"/>
    <x v="0"/>
  </r>
  <r>
    <x v="4"/>
    <x v="0"/>
    <x v="8"/>
    <x v="1"/>
    <n v="36500"/>
    <n v="11340925.859999999"/>
    <n v="2.86"/>
    <n v="98.22"/>
    <n v="46.72"/>
    <n v="177.9"/>
    <n v="65.83"/>
    <x v="0"/>
  </r>
  <r>
    <x v="4"/>
    <x v="2"/>
    <x v="11"/>
    <x v="1"/>
    <n v="35816"/>
    <n v="11652906.140000001"/>
    <n v="6.83"/>
    <n v="52.51"/>
    <n v="23.96"/>
    <n v="85.44"/>
    <n v="54.57"/>
    <x v="3"/>
  </r>
  <r>
    <x v="4"/>
    <x v="0"/>
    <x v="5"/>
    <x v="1"/>
    <n v="42266"/>
    <n v="25950100.260000002"/>
    <n v="6.02"/>
    <n v="55.39"/>
    <n v="39.53"/>
    <n v="262.25"/>
    <n v="45.63"/>
    <x v="0"/>
  </r>
  <r>
    <x v="4"/>
    <x v="1"/>
    <x v="9"/>
    <x v="1"/>
    <n v="55851"/>
    <n v="19401460.379999999"/>
    <n v="5.04"/>
    <n v="98.87"/>
    <n v="14.29"/>
    <n v="187.41"/>
    <n v="45.43"/>
    <x v="1"/>
  </r>
  <r>
    <x v="4"/>
    <x v="2"/>
    <x v="7"/>
    <x v="1"/>
    <n v="60353"/>
    <n v="10771600.5239999"/>
    <n v="3.43"/>
    <n v="67.709999999999994"/>
    <n v="35.68"/>
    <n v="79.34"/>
    <n v="58.28"/>
    <x v="3"/>
  </r>
  <r>
    <x v="4"/>
    <x v="1"/>
    <x v="0"/>
    <x v="0"/>
    <n v="28445"/>
    <n v="23846107.199999999"/>
    <n v="3.99"/>
    <n v="46.8"/>
    <n v="37.909999999999997"/>
    <n v="175.6"/>
    <n v="66.599999999999994"/>
    <x v="4"/>
  </r>
  <r>
    <x v="4"/>
    <x v="3"/>
    <x v="14"/>
    <x v="1"/>
    <n v="52161"/>
    <n v="28251610.309999999"/>
    <n v="4.47"/>
    <n v="63.99"/>
    <n v="48.56"/>
    <n v="255.02"/>
    <n v="48.38"/>
    <x v="2"/>
  </r>
  <r>
    <x v="4"/>
    <x v="3"/>
    <x v="10"/>
    <x v="1"/>
    <n v="36216"/>
    <n v="29959374.23"/>
    <n v="3.82"/>
    <n v="70.59"/>
    <n v="46.92"/>
    <n v="177.43"/>
    <n v="63.86"/>
    <x v="1"/>
  </r>
  <r>
    <x v="4"/>
    <x v="1"/>
    <x v="3"/>
    <x v="0"/>
    <n v="40418"/>
    <n v="32030342.59"/>
    <n v="1.77999999999999"/>
    <n v="61.9"/>
    <n v="24.69"/>
    <n v="160.97999999999999"/>
    <n v="45.26"/>
    <x v="3"/>
  </r>
  <r>
    <x v="4"/>
    <x v="3"/>
    <x v="10"/>
    <x v="1"/>
    <n v="36216"/>
    <n v="29959374.23"/>
    <n v="3.82"/>
    <n v="70.59"/>
    <n v="46.92"/>
    <n v="177.43"/>
    <n v="63.86"/>
    <x v="1"/>
  </r>
  <r>
    <x v="4"/>
    <x v="1"/>
    <x v="10"/>
    <x v="1"/>
    <n v="43275"/>
    <n v="7555516.4280000003"/>
    <n v="4.18"/>
    <n v="44.77"/>
    <n v="25.77"/>
    <n v="214.9"/>
    <n v="48.3"/>
    <x v="1"/>
  </r>
  <r>
    <x v="4"/>
    <x v="2"/>
    <x v="5"/>
    <x v="1"/>
    <n v="18578"/>
    <n v="35842354.880000003"/>
    <n v="5.27"/>
    <n v="41.64"/>
    <n v="13.95"/>
    <n v="192.01"/>
    <n v="73.64"/>
    <x v="3"/>
  </r>
  <r>
    <x v="4"/>
    <x v="2"/>
    <x v="14"/>
    <x v="1"/>
    <n v="19229"/>
    <n v="37535867.520000003"/>
    <n v="6.95"/>
    <n v="71.89"/>
    <n v="44.75"/>
    <n v="122.87"/>
    <n v="91.72"/>
    <x v="1"/>
  </r>
  <r>
    <x v="4"/>
    <x v="3"/>
    <x v="2"/>
    <x v="0"/>
    <n v="47421"/>
    <n v="4828393.0619999999"/>
    <n v="0.34"/>
    <n v="69.319999999999993"/>
    <n v="14.16"/>
    <n v="174.21"/>
    <n v="73.78"/>
    <x v="1"/>
  </r>
  <r>
    <x v="4"/>
    <x v="2"/>
    <x v="11"/>
    <x v="1"/>
    <n v="35816"/>
    <n v="11652906.140000001"/>
    <n v="6.83"/>
    <n v="52.51"/>
    <n v="23.96"/>
    <n v="85.44"/>
    <n v="54.57"/>
    <x v="3"/>
  </r>
  <r>
    <x v="4"/>
    <x v="1"/>
    <x v="0"/>
    <x v="0"/>
    <n v="28445"/>
    <n v="23846107.199999999"/>
    <n v="3.99"/>
    <n v="46.8"/>
    <n v="37.909999999999997"/>
    <n v="175.6"/>
    <n v="66.599999999999994"/>
    <x v="4"/>
  </r>
  <r>
    <x v="4"/>
    <x v="0"/>
    <x v="3"/>
    <x v="0"/>
    <n v="41459"/>
    <n v="13687954.880000001"/>
    <n v="-0.11"/>
    <n v="62.18"/>
    <n v="11.77"/>
    <n v="287.5"/>
    <n v="41.54"/>
    <x v="1"/>
  </r>
  <r>
    <x v="4"/>
    <x v="0"/>
    <x v="8"/>
    <x v="1"/>
    <n v="36500"/>
    <n v="11340925.859999999"/>
    <n v="2.86"/>
    <n v="98.22"/>
    <n v="46.72"/>
    <n v="177.9"/>
    <n v="65.83"/>
    <x v="0"/>
  </r>
  <r>
    <x v="4"/>
    <x v="3"/>
    <x v="7"/>
    <x v="1"/>
    <n v="31159"/>
    <n v="41780958.789999999"/>
    <n v="4.5599999999999996"/>
    <n v="79.39"/>
    <n v="20.12"/>
    <n v="294.91000000000003"/>
    <n v="53.57"/>
    <x v="2"/>
  </r>
  <r>
    <x v="4"/>
    <x v="1"/>
    <x v="11"/>
    <x v="1"/>
    <n v="14970"/>
    <n v="18515548.91"/>
    <n v="6.32"/>
    <n v="52.48"/>
    <n v="25"/>
    <n v="57.27"/>
    <n v="51.12"/>
    <x v="1"/>
  </r>
  <r>
    <x v="4"/>
    <x v="0"/>
    <x v="12"/>
    <x v="1"/>
    <n v="39916"/>
    <n v="30964782.02"/>
    <n v="5.5299999999999896"/>
    <n v="47.84"/>
    <n v="15.23"/>
    <n v="260.8"/>
    <n v="82.88"/>
    <x v="2"/>
  </r>
  <r>
    <x v="4"/>
    <x v="0"/>
    <x v="14"/>
    <x v="1"/>
    <n v="11658"/>
    <n v="14130688.68"/>
    <n v="4.8099999999999996"/>
    <n v="64.150000000000006"/>
    <n v="50.51"/>
    <n v="117.92"/>
    <n v="62.56"/>
    <x v="4"/>
  </r>
  <r>
    <x v="4"/>
    <x v="3"/>
    <x v="10"/>
    <x v="1"/>
    <n v="36216"/>
    <n v="29959374.23"/>
    <n v="3.82"/>
    <n v="70.59"/>
    <n v="46.92"/>
    <n v="177.43"/>
    <n v="63.86"/>
    <x v="1"/>
  </r>
  <r>
    <x v="4"/>
    <x v="3"/>
    <x v="1"/>
    <x v="0"/>
    <n v="35697"/>
    <n v="19462564.98"/>
    <n v="2.4900000000000002"/>
    <n v="36.549999999999997"/>
    <n v="36.44"/>
    <n v="236.39"/>
    <n v="47.11"/>
    <x v="3"/>
  </r>
  <r>
    <x v="5"/>
    <x v="0"/>
    <x v="0"/>
    <x v="0"/>
    <n v="37131"/>
    <n v="45587127.689999998"/>
    <n v="0.59"/>
    <n v="83.06"/>
    <n v="0.33999999999999903"/>
    <n v="274.2"/>
    <n v="42.93"/>
    <x v="3"/>
  </r>
  <r>
    <x v="5"/>
    <x v="0"/>
    <x v="1"/>
    <x v="0"/>
    <n v="22947"/>
    <n v="10581556.07"/>
    <n v="2.0299999999999998"/>
    <n v="51.05"/>
    <n v="13.99"/>
    <n v="62.01"/>
    <n v="43.39"/>
    <x v="4"/>
  </r>
  <r>
    <x v="5"/>
    <x v="0"/>
    <x v="2"/>
    <x v="0"/>
    <n v="32783"/>
    <n v="24954402.68"/>
    <n v="-0.12"/>
    <n v="68.38"/>
    <n v="18.52"/>
    <n v="165.62"/>
    <n v="84.08"/>
    <x v="0"/>
  </r>
  <r>
    <x v="5"/>
    <x v="0"/>
    <x v="3"/>
    <x v="0"/>
    <n v="11825"/>
    <n v="26416166.620000001"/>
    <n v="3.72"/>
    <n v="48.75"/>
    <n v="13.42"/>
    <n v="267.68"/>
    <n v="82.48"/>
    <x v="0"/>
  </r>
  <r>
    <x v="5"/>
    <x v="0"/>
    <x v="4"/>
    <x v="0"/>
    <n v="11094"/>
    <n v="32422221.329999998"/>
    <n v="2.75"/>
    <n v="69.33"/>
    <n v="8.1999999999999993"/>
    <n v="259.14999999999998"/>
    <n v="73.14"/>
    <x v="2"/>
  </r>
  <r>
    <x v="5"/>
    <x v="0"/>
    <x v="5"/>
    <x v="1"/>
    <n v="54883"/>
    <n v="29105714.760000002"/>
    <n v="6.45"/>
    <n v="41.13"/>
    <n v="51.34"/>
    <n v="117.64"/>
    <n v="58.15"/>
    <x v="3"/>
  </r>
  <r>
    <x v="5"/>
    <x v="0"/>
    <x v="6"/>
    <x v="1"/>
    <n v="31220"/>
    <n v="36722606.380000003"/>
    <n v="6.53"/>
    <n v="40.51"/>
    <n v="32.239999999999903"/>
    <n v="130.35"/>
    <n v="80.87"/>
    <x v="1"/>
  </r>
  <r>
    <x v="5"/>
    <x v="0"/>
    <x v="7"/>
    <x v="1"/>
    <n v="11255"/>
    <n v="40448789.530000001"/>
    <n v="6.91"/>
    <n v="69.89"/>
    <n v="14.95"/>
    <n v="211"/>
    <n v="67.67"/>
    <x v="3"/>
  </r>
  <r>
    <x v="5"/>
    <x v="0"/>
    <x v="8"/>
    <x v="1"/>
    <n v="62968"/>
    <n v="36037742.340000004"/>
    <n v="3.27"/>
    <n v="91.81"/>
    <n v="35.090000000000003"/>
    <n v="236.61"/>
    <n v="93.38"/>
    <x v="2"/>
  </r>
  <r>
    <x v="5"/>
    <x v="0"/>
    <x v="9"/>
    <x v="1"/>
    <n v="57073"/>
    <n v="27851665.91"/>
    <n v="2.61"/>
    <n v="66.33"/>
    <n v="8.11"/>
    <n v="196.33"/>
    <n v="89.62"/>
    <x v="1"/>
  </r>
  <r>
    <x v="5"/>
    <x v="0"/>
    <x v="10"/>
    <x v="1"/>
    <n v="43911"/>
    <n v="45501962.543999903"/>
    <n v="4.21"/>
    <n v="45.54"/>
    <n v="47.18"/>
    <n v="293.87"/>
    <n v="46.55"/>
    <x v="4"/>
  </r>
  <r>
    <x v="5"/>
    <x v="0"/>
    <x v="11"/>
    <x v="1"/>
    <n v="6628"/>
    <n v="36995468.590000004"/>
    <n v="4.8099999999999996"/>
    <n v="93.86"/>
    <n v="26.43"/>
    <n v="157.51"/>
    <n v="45.53"/>
    <x v="4"/>
  </r>
  <r>
    <x v="5"/>
    <x v="0"/>
    <x v="12"/>
    <x v="1"/>
    <n v="54366"/>
    <n v="58337180.299999997"/>
    <n v="2.87"/>
    <n v="90.7"/>
    <n v="13.54"/>
    <n v="83.75"/>
    <n v="56.88"/>
    <x v="0"/>
  </r>
  <r>
    <x v="5"/>
    <x v="0"/>
    <x v="13"/>
    <x v="1"/>
    <n v="43162"/>
    <n v="43400860.595999897"/>
    <n v="3.11"/>
    <n v="73.38"/>
    <n v="46.43"/>
    <n v="195.74"/>
    <n v="49.58"/>
    <x v="2"/>
  </r>
  <r>
    <x v="5"/>
    <x v="0"/>
    <x v="14"/>
    <x v="1"/>
    <n v="24624"/>
    <n v="36547057.850000001"/>
    <n v="6.92"/>
    <n v="54.55"/>
    <n v="50.77"/>
    <n v="120.07"/>
    <n v="50.72"/>
    <x v="3"/>
  </r>
  <r>
    <x v="5"/>
    <x v="1"/>
    <x v="0"/>
    <x v="0"/>
    <n v="26237"/>
    <n v="30930455.537999999"/>
    <n v="2.72"/>
    <n v="30.37"/>
    <n v="43.72"/>
    <n v="205.74"/>
    <n v="48.09"/>
    <x v="2"/>
  </r>
  <r>
    <x v="5"/>
    <x v="1"/>
    <x v="1"/>
    <x v="0"/>
    <n v="22269"/>
    <n v="16275671.49"/>
    <n v="2.2400000000000002"/>
    <n v="67.36"/>
    <n v="2.27"/>
    <n v="216.59"/>
    <n v="73.239999999999995"/>
    <x v="3"/>
  </r>
  <r>
    <x v="5"/>
    <x v="1"/>
    <x v="2"/>
    <x v="0"/>
    <n v="27314"/>
    <n v="25415808.77"/>
    <n v="0.48"/>
    <n v="88.91"/>
    <n v="13.08"/>
    <n v="84.12"/>
    <n v="40.119999999999997"/>
    <x v="4"/>
  </r>
  <r>
    <x v="5"/>
    <x v="1"/>
    <x v="3"/>
    <x v="0"/>
    <n v="18938"/>
    <n v="16203612.710000001"/>
    <n v="3.04"/>
    <n v="84.26"/>
    <n v="14.97"/>
    <n v="201.33"/>
    <n v="75.69"/>
    <x v="4"/>
  </r>
  <r>
    <x v="5"/>
    <x v="1"/>
    <x v="4"/>
    <x v="0"/>
    <n v="14478"/>
    <n v="46356728.390000001"/>
    <n v="1.47"/>
    <n v="44.98"/>
    <n v="31.83"/>
    <n v="190.4"/>
    <n v="78.16"/>
    <x v="1"/>
  </r>
  <r>
    <x v="5"/>
    <x v="1"/>
    <x v="5"/>
    <x v="1"/>
    <n v="64381"/>
    <n v="8891741.3399999999"/>
    <n v="3.46"/>
    <n v="81.540000000000006"/>
    <n v="25.48"/>
    <n v="147.47999999999999"/>
    <n v="52.94"/>
    <x v="3"/>
  </r>
  <r>
    <x v="5"/>
    <x v="1"/>
    <x v="6"/>
    <x v="1"/>
    <n v="33515"/>
    <n v="35787763.82"/>
    <n v="4.3"/>
    <n v="82.09"/>
    <n v="44.83"/>
    <n v="256.14"/>
    <n v="51.86"/>
    <x v="1"/>
  </r>
  <r>
    <x v="5"/>
    <x v="1"/>
    <x v="7"/>
    <x v="1"/>
    <n v="14587"/>
    <n v="28041204.800000001"/>
    <n v="2.85"/>
    <n v="53.66"/>
    <n v="51.8"/>
    <n v="126.75"/>
    <n v="94.43"/>
    <x v="0"/>
  </r>
  <r>
    <x v="5"/>
    <x v="1"/>
    <x v="8"/>
    <x v="1"/>
    <n v="47712"/>
    <n v="18117011.059999999"/>
    <n v="3.62"/>
    <n v="64.38"/>
    <n v="33.69"/>
    <n v="172.94"/>
    <n v="72.78"/>
    <x v="3"/>
  </r>
  <r>
    <x v="5"/>
    <x v="1"/>
    <x v="9"/>
    <x v="1"/>
    <n v="24276"/>
    <n v="82025137.200000003"/>
    <n v="6.27"/>
    <n v="51.96"/>
    <n v="37.97"/>
    <n v="177.35"/>
    <n v="73.86"/>
    <x v="1"/>
  </r>
  <r>
    <x v="5"/>
    <x v="1"/>
    <x v="10"/>
    <x v="1"/>
    <n v="28349"/>
    <n v="29473665.23"/>
    <n v="6.51"/>
    <n v="94.18"/>
    <n v="34.270000000000003"/>
    <n v="103.77"/>
    <n v="65.41"/>
    <x v="0"/>
  </r>
  <r>
    <x v="5"/>
    <x v="1"/>
    <x v="11"/>
    <x v="1"/>
    <n v="33169"/>
    <n v="35954900.030000001"/>
    <n v="5.42"/>
    <n v="53.54"/>
    <n v="26.02"/>
    <n v="294.86"/>
    <n v="54.66"/>
    <x v="4"/>
  </r>
  <r>
    <x v="5"/>
    <x v="1"/>
    <x v="12"/>
    <x v="1"/>
    <n v="7463"/>
    <n v="54322194.789999999"/>
    <n v="3.42"/>
    <n v="84.33"/>
    <n v="29.05"/>
    <n v="82.85"/>
    <n v="88.18"/>
    <x v="3"/>
  </r>
  <r>
    <x v="5"/>
    <x v="1"/>
    <x v="13"/>
    <x v="1"/>
    <n v="16723"/>
    <n v="10462398.76"/>
    <n v="5.79"/>
    <n v="80.56"/>
    <n v="28.87"/>
    <n v="162.51"/>
    <n v="72.81"/>
    <x v="2"/>
  </r>
  <r>
    <x v="5"/>
    <x v="1"/>
    <x v="14"/>
    <x v="1"/>
    <n v="44327"/>
    <n v="51331262.543999903"/>
    <n v="4.95"/>
    <n v="78.31"/>
    <n v="41.66"/>
    <n v="198.84"/>
    <n v="46.44"/>
    <x v="2"/>
  </r>
  <r>
    <x v="5"/>
    <x v="2"/>
    <x v="0"/>
    <x v="0"/>
    <n v="32671"/>
    <n v="47591496.990000002"/>
    <n v="2.77"/>
    <n v="27.94"/>
    <n v="32.880000000000003"/>
    <n v="71.209999999999994"/>
    <n v="82.95"/>
    <x v="0"/>
  </r>
  <r>
    <x v="5"/>
    <x v="2"/>
    <x v="1"/>
    <x v="0"/>
    <n v="40214"/>
    <n v="41136987.82"/>
    <n v="0.13999999999999899"/>
    <n v="87.83"/>
    <n v="40.29"/>
    <n v="259.95"/>
    <n v="42.51"/>
    <x v="0"/>
  </r>
  <r>
    <x v="5"/>
    <x v="2"/>
    <x v="2"/>
    <x v="0"/>
    <n v="5564"/>
    <n v="59801417.460000001"/>
    <n v="3.5"/>
    <n v="48.6"/>
    <n v="29.86"/>
    <n v="213.04"/>
    <n v="46.39"/>
    <x v="4"/>
  </r>
  <r>
    <x v="5"/>
    <x v="2"/>
    <x v="3"/>
    <x v="0"/>
    <n v="19903"/>
    <n v="17437926.68"/>
    <n v="3.41"/>
    <n v="61.77"/>
    <n v="2.81"/>
    <n v="289.86"/>
    <n v="52.2"/>
    <x v="2"/>
  </r>
  <r>
    <x v="5"/>
    <x v="2"/>
    <x v="4"/>
    <x v="0"/>
    <n v="21386"/>
    <n v="36904339.770000003"/>
    <n v="2.99"/>
    <n v="72.989999999999995"/>
    <n v="35.39"/>
    <n v="296.75"/>
    <n v="75.59"/>
    <x v="1"/>
  </r>
  <r>
    <x v="5"/>
    <x v="2"/>
    <x v="5"/>
    <x v="1"/>
    <n v="27969"/>
    <n v="70164647.829999998"/>
    <n v="2.62"/>
    <n v="46.76"/>
    <n v="43.61"/>
    <n v="103.25"/>
    <n v="63.21"/>
    <x v="2"/>
  </r>
  <r>
    <x v="5"/>
    <x v="2"/>
    <x v="6"/>
    <x v="1"/>
    <n v="37433"/>
    <n v="18338586.460000001"/>
    <n v="4.04"/>
    <n v="87.64"/>
    <n v="53.76"/>
    <n v="101.77"/>
    <n v="50.02"/>
    <x v="2"/>
  </r>
  <r>
    <x v="5"/>
    <x v="2"/>
    <x v="7"/>
    <x v="1"/>
    <n v="39286"/>
    <n v="60220617.189999998"/>
    <n v="3.28"/>
    <n v="52.62"/>
    <n v="54.48"/>
    <n v="284.67"/>
    <n v="72.09"/>
    <x v="4"/>
  </r>
  <r>
    <x v="5"/>
    <x v="2"/>
    <x v="8"/>
    <x v="1"/>
    <n v="53528"/>
    <n v="21387152.239999998"/>
    <n v="6.42"/>
    <n v="103.82"/>
    <n v="51.01"/>
    <n v="130.55000000000001"/>
    <n v="85.26"/>
    <x v="2"/>
  </r>
  <r>
    <x v="5"/>
    <x v="2"/>
    <x v="9"/>
    <x v="1"/>
    <n v="35291"/>
    <n v="49226395.399999999"/>
    <n v="6.75"/>
    <n v="62.89"/>
    <n v="24.49"/>
    <n v="220.65"/>
    <n v="89.72"/>
    <x v="3"/>
  </r>
  <r>
    <x v="5"/>
    <x v="2"/>
    <x v="10"/>
    <x v="1"/>
    <n v="59709"/>
    <n v="24247149.039999999"/>
    <n v="6.3"/>
    <n v="103.78"/>
    <n v="12.99"/>
    <n v="284.37"/>
    <n v="67.069999999999993"/>
    <x v="2"/>
  </r>
  <r>
    <x v="5"/>
    <x v="2"/>
    <x v="11"/>
    <x v="1"/>
    <n v="43568"/>
    <n v="7815666.2519999901"/>
    <n v="5.04"/>
    <n v="74.459999999999994"/>
    <n v="45.39"/>
    <n v="255.35"/>
    <n v="72.28"/>
    <x v="3"/>
  </r>
  <r>
    <x v="5"/>
    <x v="2"/>
    <x v="12"/>
    <x v="1"/>
    <n v="14266"/>
    <n v="34815441.960000001"/>
    <n v="4.33"/>
    <n v="40.78"/>
    <n v="17.489999999999998"/>
    <n v="190.78"/>
    <n v="88.08"/>
    <x v="1"/>
  </r>
  <r>
    <x v="5"/>
    <x v="2"/>
    <x v="13"/>
    <x v="1"/>
    <n v="15763"/>
    <n v="7376208.852"/>
    <n v="5.89"/>
    <n v="74.459999999999994"/>
    <n v="50.36"/>
    <n v="173.23"/>
    <n v="52.39"/>
    <x v="3"/>
  </r>
  <r>
    <x v="5"/>
    <x v="2"/>
    <x v="14"/>
    <x v="1"/>
    <n v="37683"/>
    <n v="25975311.579999998"/>
    <n v="6.15"/>
    <n v="87.83"/>
    <n v="29.56"/>
    <n v="270.57"/>
    <n v="63.33"/>
    <x v="4"/>
  </r>
  <r>
    <x v="5"/>
    <x v="3"/>
    <x v="0"/>
    <x v="0"/>
    <n v="9805"/>
    <n v="4494602.4929999998"/>
    <n v="0.27"/>
    <n v="59.49"/>
    <n v="16.98"/>
    <n v="203.22"/>
    <n v="57.32"/>
    <x v="2"/>
  </r>
  <r>
    <x v="5"/>
    <x v="3"/>
    <x v="1"/>
    <x v="0"/>
    <n v="39017"/>
    <n v="15031174.35"/>
    <n v="1.95"/>
    <n v="50.4"/>
    <n v="25.44"/>
    <n v="268.60000000000002"/>
    <n v="38.07"/>
    <x v="0"/>
  </r>
  <r>
    <x v="5"/>
    <x v="3"/>
    <x v="2"/>
    <x v="0"/>
    <n v="7534"/>
    <n v="29771391.219999999"/>
    <n v="3.55"/>
    <n v="47.5"/>
    <n v="12.56"/>
    <n v="51.73"/>
    <n v="74.44"/>
    <x v="4"/>
  </r>
  <r>
    <x v="5"/>
    <x v="3"/>
    <x v="3"/>
    <x v="0"/>
    <n v="42266"/>
    <n v="23557754.829999998"/>
    <n v="0.34"/>
    <n v="86.28"/>
    <n v="26.49"/>
    <n v="294.81"/>
    <n v="51.79"/>
    <x v="1"/>
  </r>
  <r>
    <x v="5"/>
    <x v="3"/>
    <x v="4"/>
    <x v="0"/>
    <n v="28852"/>
    <n v="14365866.470000001"/>
    <n v="0.22999999999999901"/>
    <n v="46.1"/>
    <n v="3.47"/>
    <n v="194.32"/>
    <n v="86.51"/>
    <x v="2"/>
  </r>
  <r>
    <x v="5"/>
    <x v="3"/>
    <x v="5"/>
    <x v="1"/>
    <n v="25724"/>
    <n v="57565236.579999998"/>
    <n v="5.68"/>
    <n v="69.979999999999905"/>
    <n v="34.17"/>
    <n v="231.5"/>
    <n v="84.08"/>
    <x v="1"/>
  </r>
  <r>
    <x v="5"/>
    <x v="3"/>
    <x v="6"/>
    <x v="1"/>
    <n v="10554"/>
    <n v="21897425.739999998"/>
    <n v="5.35"/>
    <n v="41.87"/>
    <n v="19.649999999999999"/>
    <n v="187.87"/>
    <n v="87.11"/>
    <x v="0"/>
  </r>
  <r>
    <x v="5"/>
    <x v="3"/>
    <x v="7"/>
    <x v="1"/>
    <n v="63966"/>
    <n v="35148376"/>
    <n v="3.86"/>
    <n v="68.180000000000007"/>
    <n v="37.299999999999997"/>
    <n v="171.35"/>
    <n v="81.11"/>
    <x v="3"/>
  </r>
  <r>
    <x v="5"/>
    <x v="3"/>
    <x v="8"/>
    <x v="1"/>
    <n v="50336"/>
    <n v="24239867.16"/>
    <n v="4.0599999999999996"/>
    <n v="44.48"/>
    <n v="16.75"/>
    <n v="205.63"/>
    <n v="73.459999999999994"/>
    <x v="2"/>
  </r>
  <r>
    <x v="5"/>
    <x v="3"/>
    <x v="9"/>
    <x v="1"/>
    <n v="35834"/>
    <n v="8672653.0079999994"/>
    <n v="3.47"/>
    <n v="79.11"/>
    <n v="20.48"/>
    <n v="97.86"/>
    <n v="49"/>
    <x v="2"/>
  </r>
  <r>
    <x v="5"/>
    <x v="3"/>
    <x v="10"/>
    <x v="1"/>
    <n v="28368"/>
    <n v="17639255.890000001"/>
    <n v="5.79"/>
    <n v="47.78"/>
    <n v="35.700000000000003"/>
    <n v="99.55"/>
    <n v="92.85"/>
    <x v="4"/>
  </r>
  <r>
    <x v="5"/>
    <x v="3"/>
    <x v="11"/>
    <x v="1"/>
    <n v="31313"/>
    <n v="33616387.43"/>
    <n v="6.7"/>
    <n v="59.12"/>
    <n v="51.35"/>
    <n v="229.94"/>
    <n v="66.099999999999994"/>
    <x v="3"/>
  </r>
  <r>
    <x v="5"/>
    <x v="3"/>
    <x v="12"/>
    <x v="1"/>
    <n v="10175"/>
    <n v="31584423.949999999"/>
    <n v="6.39"/>
    <n v="86.4"/>
    <n v="6.87"/>
    <n v="170.92"/>
    <n v="87.54"/>
    <x v="0"/>
  </r>
  <r>
    <x v="5"/>
    <x v="3"/>
    <x v="13"/>
    <x v="1"/>
    <n v="27459"/>
    <n v="48297091.175999902"/>
    <n v="2.65"/>
    <n v="73.66"/>
    <n v="17.95"/>
    <n v="186.37"/>
    <n v="92.94"/>
    <x v="3"/>
  </r>
  <r>
    <x v="5"/>
    <x v="3"/>
    <x v="14"/>
    <x v="1"/>
    <n v="23576"/>
    <n v="7378715.04"/>
    <n v="4.9400000000000004"/>
    <n v="92.65"/>
    <n v="27.65"/>
    <n v="261.8"/>
    <n v="75.180000000000007"/>
    <x v="0"/>
  </r>
  <r>
    <x v="5"/>
    <x v="0"/>
    <x v="0"/>
    <x v="0"/>
    <n v="37131"/>
    <n v="45587127.689999998"/>
    <n v="0.59"/>
    <n v="83.06"/>
    <n v="0.33999999999999903"/>
    <n v="274.2"/>
    <n v="42.93"/>
    <x v="3"/>
  </r>
  <r>
    <x v="5"/>
    <x v="0"/>
    <x v="1"/>
    <x v="0"/>
    <n v="22947"/>
    <n v="10581556.07"/>
    <n v="2.0299999999999998"/>
    <n v="51.05"/>
    <n v="13.99"/>
    <n v="62.01"/>
    <n v="43.39"/>
    <x v="4"/>
  </r>
  <r>
    <x v="5"/>
    <x v="0"/>
    <x v="2"/>
    <x v="0"/>
    <n v="32783"/>
    <n v="24954402.68"/>
    <n v="-0.12"/>
    <n v="68.38"/>
    <n v="18.52"/>
    <n v="165.62"/>
    <n v="84.08"/>
    <x v="0"/>
  </r>
  <r>
    <x v="5"/>
    <x v="0"/>
    <x v="3"/>
    <x v="0"/>
    <n v="11825"/>
    <n v="26416166.620000001"/>
    <n v="3.72"/>
    <n v="48.75"/>
    <n v="13.42"/>
    <n v="267.68"/>
    <n v="82.48"/>
    <x v="0"/>
  </r>
  <r>
    <x v="5"/>
    <x v="0"/>
    <x v="4"/>
    <x v="0"/>
    <n v="11094"/>
    <n v="32422221.329999998"/>
    <n v="2.75"/>
    <n v="69.33"/>
    <n v="8.1999999999999993"/>
    <n v="259.14999999999998"/>
    <n v="73.14"/>
    <x v="2"/>
  </r>
  <r>
    <x v="5"/>
    <x v="0"/>
    <x v="5"/>
    <x v="1"/>
    <n v="54883"/>
    <n v="29105714.760000002"/>
    <n v="6.45"/>
    <n v="41.13"/>
    <n v="51.34"/>
    <n v="117.64"/>
    <n v="58.15"/>
    <x v="3"/>
  </r>
  <r>
    <x v="5"/>
    <x v="0"/>
    <x v="6"/>
    <x v="1"/>
    <n v="31220"/>
    <n v="36722606.380000003"/>
    <n v="6.53"/>
    <n v="40.51"/>
    <n v="32.239999999999903"/>
    <n v="130.35"/>
    <n v="80.87"/>
    <x v="1"/>
  </r>
  <r>
    <x v="5"/>
    <x v="0"/>
    <x v="7"/>
    <x v="1"/>
    <n v="11255"/>
    <n v="40448789.530000001"/>
    <n v="6.91"/>
    <n v="69.89"/>
    <n v="14.95"/>
    <n v="211"/>
    <n v="67.67"/>
    <x v="3"/>
  </r>
  <r>
    <x v="5"/>
    <x v="0"/>
    <x v="8"/>
    <x v="1"/>
    <n v="62968"/>
    <n v="36037742.340000004"/>
    <n v="3.27"/>
    <n v="91.81"/>
    <n v="35.090000000000003"/>
    <n v="236.61"/>
    <n v="93.38"/>
    <x v="2"/>
  </r>
  <r>
    <x v="5"/>
    <x v="0"/>
    <x v="9"/>
    <x v="1"/>
    <n v="57073"/>
    <n v="27851665.91"/>
    <n v="2.61"/>
    <n v="66.33"/>
    <n v="8.11"/>
    <n v="196.33"/>
    <n v="89.62"/>
    <x v="1"/>
  </r>
  <r>
    <x v="5"/>
    <x v="0"/>
    <x v="10"/>
    <x v="1"/>
    <n v="43911"/>
    <n v="45501962.543999903"/>
    <n v="4.21"/>
    <n v="45.54"/>
    <n v="47.18"/>
    <n v="293.87"/>
    <n v="46.55"/>
    <x v="4"/>
  </r>
  <r>
    <x v="5"/>
    <x v="0"/>
    <x v="11"/>
    <x v="1"/>
    <n v="6628"/>
    <n v="36995468.590000004"/>
    <n v="4.8099999999999996"/>
    <n v="93.86"/>
    <n v="26.43"/>
    <n v="157.51"/>
    <n v="45.53"/>
    <x v="4"/>
  </r>
  <r>
    <x v="5"/>
    <x v="0"/>
    <x v="12"/>
    <x v="1"/>
    <n v="54366"/>
    <n v="58337180.299999997"/>
    <n v="2.87"/>
    <n v="90.7"/>
    <n v="13.54"/>
    <n v="83.75"/>
    <n v="56.88"/>
    <x v="0"/>
  </r>
  <r>
    <x v="5"/>
    <x v="0"/>
    <x v="13"/>
    <x v="1"/>
    <n v="43162"/>
    <n v="43400860.595999897"/>
    <n v="3.11"/>
    <n v="73.38"/>
    <n v="46.43"/>
    <n v="195.74"/>
    <n v="49.58"/>
    <x v="2"/>
  </r>
  <r>
    <x v="5"/>
    <x v="0"/>
    <x v="14"/>
    <x v="1"/>
    <n v="24624"/>
    <n v="36547057.850000001"/>
    <n v="6.92"/>
    <n v="54.55"/>
    <n v="50.77"/>
    <n v="120.07"/>
    <n v="50.72"/>
    <x v="3"/>
  </r>
  <r>
    <x v="5"/>
    <x v="1"/>
    <x v="0"/>
    <x v="0"/>
    <n v="26237"/>
    <n v="30930455.537999999"/>
    <n v="2.72"/>
    <n v="30.37"/>
    <n v="43.72"/>
    <n v="205.74"/>
    <n v="48.09"/>
    <x v="2"/>
  </r>
  <r>
    <x v="5"/>
    <x v="1"/>
    <x v="1"/>
    <x v="0"/>
    <n v="22269"/>
    <n v="16275671.49"/>
    <n v="2.2400000000000002"/>
    <n v="67.36"/>
    <n v="2.27"/>
    <n v="216.59"/>
    <n v="73.239999999999995"/>
    <x v="3"/>
  </r>
  <r>
    <x v="5"/>
    <x v="1"/>
    <x v="2"/>
    <x v="0"/>
    <n v="27314"/>
    <n v="25415808.77"/>
    <n v="0.48"/>
    <n v="88.91"/>
    <n v="13.08"/>
    <n v="84.12"/>
    <n v="40.119999999999997"/>
    <x v="4"/>
  </r>
  <r>
    <x v="5"/>
    <x v="1"/>
    <x v="3"/>
    <x v="0"/>
    <n v="18938"/>
    <n v="16203612.710000001"/>
    <n v="3.04"/>
    <n v="84.26"/>
    <n v="14.97"/>
    <n v="201.33"/>
    <n v="75.69"/>
    <x v="4"/>
  </r>
  <r>
    <x v="5"/>
    <x v="1"/>
    <x v="4"/>
    <x v="0"/>
    <n v="14478"/>
    <n v="46356728.390000001"/>
    <n v="1.47"/>
    <n v="44.98"/>
    <n v="31.83"/>
    <n v="190.4"/>
    <n v="78.16"/>
    <x v="1"/>
  </r>
  <r>
    <x v="5"/>
    <x v="1"/>
    <x v="5"/>
    <x v="1"/>
    <n v="64381"/>
    <n v="8891741.3399999999"/>
    <n v="3.46"/>
    <n v="81.540000000000006"/>
    <n v="25.48"/>
    <n v="147.47999999999999"/>
    <n v="52.94"/>
    <x v="3"/>
  </r>
  <r>
    <x v="5"/>
    <x v="1"/>
    <x v="6"/>
    <x v="1"/>
    <n v="33515"/>
    <n v="35787763.82"/>
    <n v="4.3"/>
    <n v="82.09"/>
    <n v="44.83"/>
    <n v="256.14"/>
    <n v="51.86"/>
    <x v="1"/>
  </r>
  <r>
    <x v="5"/>
    <x v="1"/>
    <x v="7"/>
    <x v="1"/>
    <n v="14587"/>
    <n v="28041204.800000001"/>
    <n v="2.85"/>
    <n v="53.66"/>
    <n v="51.8"/>
    <n v="126.75"/>
    <n v="94.43"/>
    <x v="0"/>
  </r>
  <r>
    <x v="5"/>
    <x v="1"/>
    <x v="8"/>
    <x v="1"/>
    <n v="47712"/>
    <n v="18117011.059999999"/>
    <n v="3.62"/>
    <n v="64.38"/>
    <n v="33.69"/>
    <n v="172.94"/>
    <n v="72.78"/>
    <x v="3"/>
  </r>
  <r>
    <x v="5"/>
    <x v="1"/>
    <x v="9"/>
    <x v="1"/>
    <n v="24276"/>
    <n v="82025137.200000003"/>
    <n v="6.27"/>
    <n v="51.96"/>
    <n v="37.97"/>
    <n v="177.35"/>
    <n v="73.86"/>
    <x v="1"/>
  </r>
  <r>
    <x v="5"/>
    <x v="1"/>
    <x v="10"/>
    <x v="1"/>
    <n v="28349"/>
    <n v="29473665.23"/>
    <n v="6.51"/>
    <n v="94.18"/>
    <n v="34.270000000000003"/>
    <n v="103.77"/>
    <n v="65.41"/>
    <x v="0"/>
  </r>
  <r>
    <x v="5"/>
    <x v="1"/>
    <x v="11"/>
    <x v="1"/>
    <n v="33169"/>
    <n v="35954900.030000001"/>
    <n v="5.42"/>
    <n v="53.54"/>
    <n v="26.02"/>
    <n v="294.86"/>
    <n v="54.66"/>
    <x v="4"/>
  </r>
  <r>
    <x v="5"/>
    <x v="1"/>
    <x v="12"/>
    <x v="1"/>
    <n v="7463"/>
    <n v="54322194.789999999"/>
    <n v="3.42"/>
    <n v="84.33"/>
    <n v="29.05"/>
    <n v="82.85"/>
    <n v="88.18"/>
    <x v="3"/>
  </r>
  <r>
    <x v="5"/>
    <x v="1"/>
    <x v="13"/>
    <x v="1"/>
    <n v="16723"/>
    <n v="10462398.76"/>
    <n v="5.79"/>
    <n v="80.56"/>
    <n v="28.87"/>
    <n v="162.51"/>
    <n v="72.81"/>
    <x v="2"/>
  </r>
  <r>
    <x v="5"/>
    <x v="1"/>
    <x v="14"/>
    <x v="1"/>
    <n v="44327"/>
    <n v="51331262.543999903"/>
    <n v="4.95"/>
    <n v="78.31"/>
    <n v="41.66"/>
    <n v="198.84"/>
    <n v="46.44"/>
    <x v="2"/>
  </r>
  <r>
    <x v="5"/>
    <x v="2"/>
    <x v="0"/>
    <x v="0"/>
    <n v="32671"/>
    <n v="47591496.990000002"/>
    <n v="2.77"/>
    <n v="27.94"/>
    <n v="32.880000000000003"/>
    <n v="71.209999999999994"/>
    <n v="82.95"/>
    <x v="0"/>
  </r>
  <r>
    <x v="5"/>
    <x v="2"/>
    <x v="1"/>
    <x v="0"/>
    <n v="40214"/>
    <n v="41136987.82"/>
    <n v="0.13999999999999899"/>
    <n v="87.83"/>
    <n v="40.29"/>
    <n v="259.95"/>
    <n v="42.51"/>
    <x v="0"/>
  </r>
  <r>
    <x v="5"/>
    <x v="2"/>
    <x v="2"/>
    <x v="0"/>
    <n v="5564"/>
    <n v="59801417.460000001"/>
    <n v="3.5"/>
    <n v="48.6"/>
    <n v="29.86"/>
    <n v="213.04"/>
    <n v="46.39"/>
    <x v="4"/>
  </r>
  <r>
    <x v="5"/>
    <x v="2"/>
    <x v="3"/>
    <x v="0"/>
    <n v="19903"/>
    <n v="17437926.68"/>
    <n v="3.41"/>
    <n v="61.77"/>
    <n v="2.81"/>
    <n v="289.86"/>
    <n v="52.2"/>
    <x v="2"/>
  </r>
  <r>
    <x v="5"/>
    <x v="2"/>
    <x v="4"/>
    <x v="0"/>
    <n v="21386"/>
    <n v="36904339.770000003"/>
    <n v="2.99"/>
    <n v="72.989999999999995"/>
    <n v="35.39"/>
    <n v="296.75"/>
    <n v="75.59"/>
    <x v="1"/>
  </r>
  <r>
    <x v="5"/>
    <x v="2"/>
    <x v="5"/>
    <x v="1"/>
    <n v="27969"/>
    <n v="70164647.829999998"/>
    <n v="2.62"/>
    <n v="46.76"/>
    <n v="43.61"/>
    <n v="103.25"/>
    <n v="63.21"/>
    <x v="2"/>
  </r>
  <r>
    <x v="5"/>
    <x v="2"/>
    <x v="6"/>
    <x v="1"/>
    <n v="37433"/>
    <n v="18338586.460000001"/>
    <n v="4.04"/>
    <n v="87.64"/>
    <n v="53.76"/>
    <n v="101.77"/>
    <n v="50.02"/>
    <x v="2"/>
  </r>
  <r>
    <x v="5"/>
    <x v="2"/>
    <x v="7"/>
    <x v="1"/>
    <n v="39286"/>
    <n v="60220617.189999998"/>
    <n v="3.28"/>
    <n v="52.62"/>
    <n v="54.48"/>
    <n v="284.67"/>
    <n v="72.09"/>
    <x v="4"/>
  </r>
  <r>
    <x v="5"/>
    <x v="2"/>
    <x v="8"/>
    <x v="1"/>
    <n v="53528"/>
    <n v="21387152.239999998"/>
    <n v="6.42"/>
    <n v="103.82"/>
    <n v="51.01"/>
    <n v="130.55000000000001"/>
    <n v="85.26"/>
    <x v="2"/>
  </r>
  <r>
    <x v="5"/>
    <x v="2"/>
    <x v="9"/>
    <x v="1"/>
    <n v="35291"/>
    <n v="49226395.399999999"/>
    <n v="6.75"/>
    <n v="62.89"/>
    <n v="24.49"/>
    <n v="220.65"/>
    <n v="89.72"/>
    <x v="3"/>
  </r>
  <r>
    <x v="5"/>
    <x v="2"/>
    <x v="10"/>
    <x v="1"/>
    <n v="59709"/>
    <n v="24247149.039999999"/>
    <n v="6.3"/>
    <n v="103.78"/>
    <n v="12.99"/>
    <n v="284.37"/>
    <n v="67.069999999999993"/>
    <x v="2"/>
  </r>
  <r>
    <x v="5"/>
    <x v="2"/>
    <x v="11"/>
    <x v="1"/>
    <n v="43568"/>
    <n v="7815666.2519999901"/>
    <n v="5.04"/>
    <n v="74.459999999999994"/>
    <n v="45.39"/>
    <n v="255.35"/>
    <n v="72.28"/>
    <x v="3"/>
  </r>
  <r>
    <x v="5"/>
    <x v="2"/>
    <x v="12"/>
    <x v="1"/>
    <n v="14266"/>
    <n v="34815441.960000001"/>
    <n v="4.33"/>
    <n v="40.78"/>
    <n v="17.489999999999998"/>
    <n v="190.78"/>
    <n v="88.08"/>
    <x v="1"/>
  </r>
  <r>
    <x v="5"/>
    <x v="2"/>
    <x v="13"/>
    <x v="1"/>
    <n v="15763"/>
    <n v="7376208.852"/>
    <n v="5.89"/>
    <n v="74.459999999999994"/>
    <n v="50.36"/>
    <n v="173.23"/>
    <n v="52.39"/>
    <x v="3"/>
  </r>
  <r>
    <x v="5"/>
    <x v="2"/>
    <x v="14"/>
    <x v="1"/>
    <n v="37683"/>
    <n v="25975311.579999998"/>
    <n v="6.15"/>
    <n v="87.83"/>
    <n v="29.56"/>
    <n v="270.57"/>
    <n v="63.33"/>
    <x v="4"/>
  </r>
  <r>
    <x v="5"/>
    <x v="3"/>
    <x v="0"/>
    <x v="0"/>
    <n v="9805"/>
    <n v="4494602.4929999998"/>
    <n v="0.27"/>
    <n v="59.49"/>
    <n v="16.98"/>
    <n v="203.22"/>
    <n v="57.32"/>
    <x v="2"/>
  </r>
  <r>
    <x v="5"/>
    <x v="3"/>
    <x v="1"/>
    <x v="0"/>
    <n v="39017"/>
    <n v="15031174.35"/>
    <n v="1.95"/>
    <n v="50.4"/>
    <n v="25.44"/>
    <n v="268.60000000000002"/>
    <n v="38.07"/>
    <x v="0"/>
  </r>
  <r>
    <x v="5"/>
    <x v="3"/>
    <x v="2"/>
    <x v="0"/>
    <n v="7534"/>
    <n v="29771391.219999999"/>
    <n v="3.55"/>
    <n v="47.5"/>
    <n v="12.56"/>
    <n v="51.73"/>
    <n v="74.44"/>
    <x v="4"/>
  </r>
  <r>
    <x v="5"/>
    <x v="3"/>
    <x v="3"/>
    <x v="0"/>
    <n v="42266"/>
    <n v="23557754.829999998"/>
    <n v="0.34"/>
    <n v="86.28"/>
    <n v="26.49"/>
    <n v="294.81"/>
    <n v="51.79"/>
    <x v="1"/>
  </r>
  <r>
    <x v="5"/>
    <x v="3"/>
    <x v="4"/>
    <x v="0"/>
    <n v="28852"/>
    <n v="14365866.470000001"/>
    <n v="0.22999999999999901"/>
    <n v="46.1"/>
    <n v="3.47"/>
    <n v="194.32"/>
    <n v="86.51"/>
    <x v="2"/>
  </r>
  <r>
    <x v="5"/>
    <x v="3"/>
    <x v="5"/>
    <x v="1"/>
    <n v="25724"/>
    <n v="57565236.579999998"/>
    <n v="5.68"/>
    <n v="69.979999999999905"/>
    <n v="34.17"/>
    <n v="231.5"/>
    <n v="84.08"/>
    <x v="1"/>
  </r>
  <r>
    <x v="5"/>
    <x v="3"/>
    <x v="6"/>
    <x v="1"/>
    <n v="10554"/>
    <n v="21897425.739999998"/>
    <n v="5.35"/>
    <n v="41.87"/>
    <n v="19.649999999999999"/>
    <n v="187.87"/>
    <n v="87.11"/>
    <x v="0"/>
  </r>
  <r>
    <x v="5"/>
    <x v="3"/>
    <x v="7"/>
    <x v="1"/>
    <n v="63966"/>
    <n v="35148376"/>
    <n v="3.86"/>
    <n v="68.180000000000007"/>
    <n v="37.299999999999997"/>
    <n v="171.35"/>
    <n v="81.11"/>
    <x v="3"/>
  </r>
  <r>
    <x v="5"/>
    <x v="3"/>
    <x v="8"/>
    <x v="1"/>
    <n v="50336"/>
    <n v="24239867.16"/>
    <n v="4.0599999999999996"/>
    <n v="44.48"/>
    <n v="16.75"/>
    <n v="205.63"/>
    <n v="73.459999999999994"/>
    <x v="2"/>
  </r>
  <r>
    <x v="5"/>
    <x v="3"/>
    <x v="9"/>
    <x v="1"/>
    <n v="35834"/>
    <n v="8672653.0079999994"/>
    <n v="3.47"/>
    <n v="79.11"/>
    <n v="20.48"/>
    <n v="97.86"/>
    <n v="49"/>
    <x v="2"/>
  </r>
  <r>
    <x v="5"/>
    <x v="3"/>
    <x v="10"/>
    <x v="1"/>
    <n v="28368"/>
    <n v="17639255.890000001"/>
    <n v="5.79"/>
    <n v="47.78"/>
    <n v="35.700000000000003"/>
    <n v="99.55"/>
    <n v="92.85"/>
    <x v="4"/>
  </r>
  <r>
    <x v="5"/>
    <x v="3"/>
    <x v="11"/>
    <x v="1"/>
    <n v="31313"/>
    <n v="33616387.43"/>
    <n v="6.7"/>
    <n v="59.12"/>
    <n v="51.35"/>
    <n v="229.94"/>
    <n v="66.099999999999994"/>
    <x v="3"/>
  </r>
  <r>
    <x v="5"/>
    <x v="3"/>
    <x v="12"/>
    <x v="1"/>
    <n v="10175"/>
    <n v="31584423.949999999"/>
    <n v="6.39"/>
    <n v="86.4"/>
    <n v="6.87"/>
    <n v="170.92"/>
    <n v="87.54"/>
    <x v="0"/>
  </r>
  <r>
    <x v="5"/>
    <x v="3"/>
    <x v="13"/>
    <x v="1"/>
    <n v="27459"/>
    <n v="48297091.175999902"/>
    <n v="2.65"/>
    <n v="73.66"/>
    <n v="17.95"/>
    <n v="186.37"/>
    <n v="92.94"/>
    <x v="3"/>
  </r>
  <r>
    <x v="5"/>
    <x v="3"/>
    <x v="14"/>
    <x v="1"/>
    <n v="23576"/>
    <n v="7378715.04"/>
    <n v="4.9400000000000004"/>
    <n v="92.65"/>
    <n v="27.65"/>
    <n v="261.8"/>
    <n v="75.180000000000007"/>
    <x v="0"/>
  </r>
  <r>
    <x v="5"/>
    <x v="0"/>
    <x v="11"/>
    <x v="1"/>
    <n v="6628"/>
    <n v="36995468.590000004"/>
    <n v="4.8099999999999996"/>
    <n v="93.86"/>
    <n v="26.43"/>
    <n v="157.51"/>
    <n v="45.53"/>
    <x v="4"/>
  </r>
  <r>
    <x v="5"/>
    <x v="1"/>
    <x v="7"/>
    <x v="1"/>
    <n v="14587"/>
    <n v="28041204.800000001"/>
    <n v="2.85"/>
    <n v="53.66"/>
    <n v="51.8"/>
    <n v="126.75"/>
    <n v="94.43"/>
    <x v="0"/>
  </r>
  <r>
    <x v="5"/>
    <x v="0"/>
    <x v="8"/>
    <x v="1"/>
    <n v="62968"/>
    <n v="36037742.340000004"/>
    <n v="3.27"/>
    <n v="91.81"/>
    <n v="35.090000000000003"/>
    <n v="236.61"/>
    <n v="93.38"/>
    <x v="2"/>
  </r>
  <r>
    <x v="5"/>
    <x v="1"/>
    <x v="14"/>
    <x v="1"/>
    <n v="44327"/>
    <n v="51331262.543999903"/>
    <n v="4.95"/>
    <n v="78.31"/>
    <n v="41.66"/>
    <n v="198.84"/>
    <n v="46.44"/>
    <x v="2"/>
  </r>
  <r>
    <x v="5"/>
    <x v="2"/>
    <x v="10"/>
    <x v="1"/>
    <n v="59709"/>
    <n v="24247149.039999999"/>
    <n v="6.3"/>
    <n v="103.78"/>
    <n v="12.99"/>
    <n v="284.37"/>
    <n v="67.069999999999993"/>
    <x v="2"/>
  </r>
  <r>
    <x v="5"/>
    <x v="3"/>
    <x v="2"/>
    <x v="0"/>
    <n v="7534"/>
    <n v="29771391.219999999"/>
    <n v="3.55"/>
    <n v="47.5"/>
    <n v="12.56"/>
    <n v="51.73"/>
    <n v="74.44"/>
    <x v="4"/>
  </r>
  <r>
    <x v="5"/>
    <x v="3"/>
    <x v="13"/>
    <x v="1"/>
    <n v="27459"/>
    <n v="48297091.175999902"/>
    <n v="2.65"/>
    <n v="73.66"/>
    <n v="17.95"/>
    <n v="186.37"/>
    <n v="92.94"/>
    <x v="3"/>
  </r>
  <r>
    <x v="5"/>
    <x v="3"/>
    <x v="8"/>
    <x v="1"/>
    <n v="50336"/>
    <n v="24239867.16"/>
    <n v="4.0599999999999996"/>
    <n v="44.48"/>
    <n v="16.75"/>
    <n v="205.63"/>
    <n v="73.459999999999994"/>
    <x v="2"/>
  </r>
  <r>
    <x v="5"/>
    <x v="1"/>
    <x v="6"/>
    <x v="1"/>
    <n v="33515"/>
    <n v="35787763.82"/>
    <n v="4.3"/>
    <n v="82.09"/>
    <n v="44.83"/>
    <n v="256.14"/>
    <n v="51.86"/>
    <x v="1"/>
  </r>
  <r>
    <x v="5"/>
    <x v="3"/>
    <x v="5"/>
    <x v="1"/>
    <n v="25724"/>
    <n v="57565236.579999998"/>
    <n v="5.68"/>
    <n v="69.979999999999905"/>
    <n v="34.17"/>
    <n v="231.5"/>
    <n v="84.08"/>
    <x v="1"/>
  </r>
  <r>
    <x v="5"/>
    <x v="1"/>
    <x v="7"/>
    <x v="1"/>
    <n v="14587"/>
    <n v="28041204.800000001"/>
    <n v="2.85"/>
    <n v="53.66"/>
    <n v="51.8"/>
    <n v="126.75"/>
    <n v="94.43"/>
    <x v="0"/>
  </r>
  <r>
    <x v="5"/>
    <x v="3"/>
    <x v="9"/>
    <x v="1"/>
    <n v="35834"/>
    <n v="8672653.0079999994"/>
    <n v="3.47"/>
    <n v="79.11"/>
    <n v="20.48"/>
    <n v="97.86"/>
    <n v="49"/>
    <x v="2"/>
  </r>
  <r>
    <x v="5"/>
    <x v="0"/>
    <x v="10"/>
    <x v="1"/>
    <n v="43911"/>
    <n v="45501962.543999903"/>
    <n v="4.21"/>
    <n v="45.54"/>
    <n v="47.18"/>
    <n v="293.87"/>
    <n v="46.55"/>
    <x v="4"/>
  </r>
  <r>
    <x v="5"/>
    <x v="2"/>
    <x v="14"/>
    <x v="1"/>
    <n v="37683"/>
    <n v="25975311.579999998"/>
    <n v="6.15"/>
    <n v="87.83"/>
    <n v="29.56"/>
    <n v="270.57"/>
    <n v="63.33"/>
    <x v="4"/>
  </r>
  <r>
    <x v="5"/>
    <x v="1"/>
    <x v="6"/>
    <x v="1"/>
    <n v="33515"/>
    <n v="35787763.82"/>
    <n v="4.3"/>
    <n v="82.09"/>
    <n v="44.83"/>
    <n v="256.14"/>
    <n v="51.86"/>
    <x v="1"/>
  </r>
  <r>
    <x v="5"/>
    <x v="3"/>
    <x v="10"/>
    <x v="1"/>
    <n v="28368"/>
    <n v="17639255.890000001"/>
    <n v="5.79"/>
    <n v="47.78"/>
    <n v="35.700000000000003"/>
    <n v="99.55"/>
    <n v="92.85"/>
    <x v="4"/>
  </r>
  <r>
    <x v="5"/>
    <x v="2"/>
    <x v="1"/>
    <x v="0"/>
    <n v="40214"/>
    <n v="41136987.82"/>
    <n v="0.13999999999999899"/>
    <n v="87.83"/>
    <n v="40.29"/>
    <n v="259.95"/>
    <n v="42.51"/>
    <x v="0"/>
  </r>
  <r>
    <x v="5"/>
    <x v="2"/>
    <x v="0"/>
    <x v="0"/>
    <n v="32671"/>
    <n v="47591496.990000002"/>
    <n v="2.77"/>
    <n v="27.94"/>
    <n v="32.880000000000003"/>
    <n v="71.209999999999994"/>
    <n v="82.95"/>
    <x v="0"/>
  </r>
  <r>
    <x v="5"/>
    <x v="2"/>
    <x v="9"/>
    <x v="1"/>
    <n v="35291"/>
    <n v="49226395.399999999"/>
    <n v="6.75"/>
    <n v="62.89"/>
    <n v="24.49"/>
    <n v="220.65"/>
    <n v="89.72"/>
    <x v="3"/>
  </r>
  <r>
    <x v="5"/>
    <x v="0"/>
    <x v="11"/>
    <x v="1"/>
    <n v="6628"/>
    <n v="36995468.590000004"/>
    <n v="4.8099999999999996"/>
    <n v="93.86"/>
    <n v="26.43"/>
    <n v="157.51"/>
    <n v="45.53"/>
    <x v="4"/>
  </r>
  <r>
    <x v="5"/>
    <x v="1"/>
    <x v="11"/>
    <x v="1"/>
    <n v="33169"/>
    <n v="35954900.030000001"/>
    <n v="5.42"/>
    <n v="53.54"/>
    <n v="26.02"/>
    <n v="294.86"/>
    <n v="54.66"/>
    <x v="4"/>
  </r>
  <r>
    <x v="5"/>
    <x v="0"/>
    <x v="9"/>
    <x v="1"/>
    <n v="57073"/>
    <n v="27851665.91"/>
    <n v="2.61"/>
    <n v="66.33"/>
    <n v="8.11"/>
    <n v="196.33"/>
    <n v="89.62"/>
    <x v="1"/>
  </r>
  <r>
    <x v="5"/>
    <x v="1"/>
    <x v="12"/>
    <x v="1"/>
    <n v="7463"/>
    <n v="54322194.789999999"/>
    <n v="3.42"/>
    <n v="84.33"/>
    <n v="29.05"/>
    <n v="82.85"/>
    <n v="88.18"/>
    <x v="3"/>
  </r>
  <r>
    <x v="5"/>
    <x v="3"/>
    <x v="7"/>
    <x v="1"/>
    <n v="63966"/>
    <n v="35148376"/>
    <n v="3.86"/>
    <n v="68.180000000000007"/>
    <n v="37.299999999999997"/>
    <n v="171.35"/>
    <n v="81.11"/>
    <x v="3"/>
  </r>
  <r>
    <x v="5"/>
    <x v="2"/>
    <x v="14"/>
    <x v="1"/>
    <n v="37683"/>
    <n v="25975311.579999998"/>
    <n v="6.15"/>
    <n v="87.83"/>
    <n v="29.56"/>
    <n v="270.57"/>
    <n v="63.33"/>
    <x v="4"/>
  </r>
  <r>
    <x v="5"/>
    <x v="0"/>
    <x v="0"/>
    <x v="0"/>
    <n v="37131"/>
    <n v="45587127.689999998"/>
    <n v="0.59"/>
    <n v="83.06"/>
    <n v="0.33999999999999903"/>
    <n v="274.2"/>
    <n v="42.93"/>
    <x v="3"/>
  </r>
  <r>
    <x v="5"/>
    <x v="3"/>
    <x v="14"/>
    <x v="1"/>
    <n v="23576"/>
    <n v="7378715.04"/>
    <n v="4.9400000000000004"/>
    <n v="92.65"/>
    <n v="27.65"/>
    <n v="261.8"/>
    <n v="75.180000000000007"/>
    <x v="0"/>
  </r>
  <r>
    <x v="5"/>
    <x v="3"/>
    <x v="3"/>
    <x v="0"/>
    <n v="42266"/>
    <n v="23557754.829999998"/>
    <n v="0.34"/>
    <n v="86.28"/>
    <n v="26.49"/>
    <n v="294.81"/>
    <n v="51.79"/>
    <x v="1"/>
  </r>
  <r>
    <x v="5"/>
    <x v="3"/>
    <x v="0"/>
    <x v="0"/>
    <n v="9805"/>
    <n v="4494602.4929999998"/>
    <n v="0.27"/>
    <n v="59.49"/>
    <n v="16.98"/>
    <n v="203.22"/>
    <n v="57.32"/>
    <x v="2"/>
  </r>
  <r>
    <x v="5"/>
    <x v="0"/>
    <x v="2"/>
    <x v="0"/>
    <n v="32783"/>
    <n v="24954402.68"/>
    <n v="-0.12"/>
    <n v="68.38"/>
    <n v="18.52"/>
    <n v="165.62"/>
    <n v="84.08"/>
    <x v="0"/>
  </r>
  <r>
    <x v="5"/>
    <x v="0"/>
    <x v="10"/>
    <x v="1"/>
    <n v="43911"/>
    <n v="45501962.543999903"/>
    <n v="4.21"/>
    <n v="45.54"/>
    <n v="47.18"/>
    <n v="293.87"/>
    <n v="46.55"/>
    <x v="4"/>
  </r>
  <r>
    <x v="5"/>
    <x v="0"/>
    <x v="9"/>
    <x v="1"/>
    <n v="57073"/>
    <n v="27851665.91"/>
    <n v="2.61"/>
    <n v="66.33"/>
    <n v="8.11"/>
    <n v="196.33"/>
    <n v="89.62"/>
    <x v="1"/>
  </r>
  <r>
    <x v="5"/>
    <x v="3"/>
    <x v="4"/>
    <x v="0"/>
    <n v="28852"/>
    <n v="14365866.470000001"/>
    <n v="0.22999999999999901"/>
    <n v="46.1"/>
    <n v="3.47"/>
    <n v="194.32"/>
    <n v="86.51"/>
    <x v="2"/>
  </r>
  <r>
    <x v="5"/>
    <x v="1"/>
    <x v="0"/>
    <x v="0"/>
    <n v="26237"/>
    <n v="30930455.537999999"/>
    <n v="2.72"/>
    <n v="30.37"/>
    <n v="43.72"/>
    <n v="205.74"/>
    <n v="48.09"/>
    <x v="2"/>
  </r>
  <r>
    <x v="5"/>
    <x v="0"/>
    <x v="6"/>
    <x v="1"/>
    <n v="31220"/>
    <n v="36722606.380000003"/>
    <n v="6.53"/>
    <n v="40.51"/>
    <n v="32.239999999999903"/>
    <n v="130.35"/>
    <n v="80.87"/>
    <x v="1"/>
  </r>
  <r>
    <x v="5"/>
    <x v="2"/>
    <x v="13"/>
    <x v="1"/>
    <n v="15763"/>
    <n v="7376208.852"/>
    <n v="5.89"/>
    <n v="74.459999999999994"/>
    <n v="50.36"/>
    <n v="173.23"/>
    <n v="52.39"/>
    <x v="3"/>
  </r>
  <r>
    <x v="5"/>
    <x v="2"/>
    <x v="5"/>
    <x v="1"/>
    <n v="27969"/>
    <n v="70164647.829999998"/>
    <n v="2.62"/>
    <n v="46.76"/>
    <n v="43.61"/>
    <n v="103.25"/>
    <n v="63.2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AC02618-5BB2-40B1-BE05-05556202C5C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7:B23" firstHeaderRow="1" firstDataRow="1" firstDataCol="1"/>
  <pivotFields count="12">
    <pivotField showAll="0">
      <items count="7">
        <item x="0"/>
        <item x="1"/>
        <item x="2"/>
        <item x="3"/>
        <item x="4"/>
        <item x="5"/>
        <item t="default"/>
      </items>
    </pivotField>
    <pivotField showAll="0">
      <items count="5">
        <item x="0"/>
        <item x="1"/>
        <item x="2"/>
        <item x="3"/>
        <item t="default"/>
      </items>
    </pivotField>
    <pivotField axis="axisRow" showAll="0" sortType="ascending">
      <items count="16">
        <item x="12"/>
        <item x="5"/>
        <item x="6"/>
        <item x="7"/>
        <item x="1"/>
        <item x="3"/>
        <item x="0"/>
        <item x="2"/>
        <item x="4"/>
        <item x="10"/>
        <item x="13"/>
        <item x="9"/>
        <item x="14"/>
        <item x="8"/>
        <item x="11"/>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numFmtId="4" showAll="0"/>
    <pivotField numFmtId="165" showAll="0"/>
    <pivotField dataField="1" numFmtId="9" showAll="0"/>
    <pivotField numFmtId="9" showAll="0"/>
    <pivotField showAll="0"/>
    <pivotField showAll="0"/>
    <pivotField numFmtId="9" showAll="0"/>
    <pivotField showAll="0">
      <items count="6">
        <item x="0"/>
        <item x="4"/>
        <item x="1"/>
        <item x="2"/>
        <item x="3"/>
        <item t="default"/>
      </items>
    </pivotField>
  </pivotFields>
  <rowFields count="1">
    <field x="2"/>
  </rowFields>
  <rowItems count="16">
    <i>
      <x v="8"/>
    </i>
    <i>
      <x v="7"/>
    </i>
    <i>
      <x v="4"/>
    </i>
    <i>
      <x v="6"/>
    </i>
    <i>
      <x v="5"/>
    </i>
    <i>
      <x v="13"/>
    </i>
    <i>
      <x v="3"/>
    </i>
    <i>
      <x v="10"/>
    </i>
    <i>
      <x v="2"/>
    </i>
    <i>
      <x v="9"/>
    </i>
    <i>
      <x v="12"/>
    </i>
    <i>
      <x v="1"/>
    </i>
    <i>
      <x v="11"/>
    </i>
    <i>
      <x/>
    </i>
    <i>
      <x v="14"/>
    </i>
    <i t="grand">
      <x/>
    </i>
  </rowItems>
  <colItems count="1">
    <i/>
  </colItems>
  <dataFields count="1">
    <dataField name="Average of Market Share (%)" fld="6" subtotal="average" baseField="2" baseItem="0" numFmtId="9"/>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2183C58-C046-4652-B541-745CC3807AE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4" firstHeaderRow="1" firstDataRow="1" firstDataCol="0"/>
  <pivotFields count="12">
    <pivotField showAll="0">
      <items count="7">
        <item x="0"/>
        <item x="1"/>
        <item x="2"/>
        <item x="3"/>
        <item x="4"/>
        <item x="5"/>
        <item t="default"/>
      </items>
    </pivotField>
    <pivotField showAll="0">
      <items count="5">
        <item x="0"/>
        <item x="1"/>
        <item x="2"/>
        <item x="3"/>
        <item t="default"/>
      </items>
    </pivotField>
    <pivotField showAll="0"/>
    <pivotField showAll="0">
      <items count="3">
        <item x="0"/>
        <item x="1"/>
        <item t="default"/>
      </items>
    </pivotField>
    <pivotField dataField="1" numFmtId="4" showAll="0"/>
    <pivotField numFmtId="165" showAll="0"/>
    <pivotField numFmtId="9" showAll="0"/>
    <pivotField numFmtId="9" showAll="0"/>
    <pivotField showAll="0"/>
    <pivotField showAll="0"/>
    <pivotField numFmtId="9" showAll="0"/>
    <pivotField showAll="0">
      <items count="6">
        <item x="0"/>
        <item x="4"/>
        <item x="1"/>
        <item x="2"/>
        <item x="3"/>
        <item t="default"/>
      </items>
    </pivotField>
  </pivotFields>
  <rowItems count="1">
    <i/>
  </rowItems>
  <colItems count="1">
    <i/>
  </colItems>
  <dataFields count="1">
    <dataField name="Sum of Units Sold" fld="4" baseField="0"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29AB07D-0750-4334-A861-805E603262C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2">
    <pivotField showAll="0">
      <items count="7">
        <item x="0"/>
        <item x="1"/>
        <item x="2"/>
        <item x="3"/>
        <item x="4"/>
        <item x="5"/>
        <item t="default"/>
      </items>
    </pivotField>
    <pivotField showAll="0">
      <items count="5">
        <item x="0"/>
        <item x="1"/>
        <item x="2"/>
        <item x="3"/>
        <item t="default"/>
      </items>
    </pivotField>
    <pivotField showAll="0"/>
    <pivotField showAll="0">
      <items count="3">
        <item x="0"/>
        <item x="1"/>
        <item t="default"/>
      </items>
    </pivotField>
    <pivotField numFmtId="4" showAll="0"/>
    <pivotField dataField="1" numFmtId="165" showAll="0"/>
    <pivotField numFmtId="9" showAll="0"/>
    <pivotField numFmtId="9" showAll="0"/>
    <pivotField showAll="0"/>
    <pivotField showAll="0"/>
    <pivotField numFmtId="9" showAll="0"/>
    <pivotField showAll="0">
      <items count="6">
        <item x="0"/>
        <item x="4"/>
        <item x="1"/>
        <item x="2"/>
        <item x="3"/>
        <item t="default"/>
      </items>
    </pivotField>
  </pivotFields>
  <rowItems count="1">
    <i/>
  </rowItems>
  <colItems count="1">
    <i/>
  </colItems>
  <dataFields count="1">
    <dataField name="Sum of Revenue ($)" fld="5"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50859D4-3094-4498-81DB-38DA7BA3671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2">
    <pivotField showAll="0">
      <items count="7">
        <item x="0"/>
        <item x="1"/>
        <item x="2"/>
        <item x="3"/>
        <item x="4"/>
        <item x="5"/>
        <item t="default"/>
      </items>
    </pivotField>
    <pivotField showAll="0">
      <items count="5">
        <item x="0"/>
        <item x="1"/>
        <item x="2"/>
        <item x="3"/>
        <item t="default"/>
      </items>
    </pivotField>
    <pivotField showAll="0"/>
    <pivotField showAll="0">
      <items count="3">
        <item x="0"/>
        <item x="1"/>
        <item t="default"/>
      </items>
    </pivotField>
    <pivotField numFmtId="4" showAll="0"/>
    <pivotField numFmtId="165" showAll="0"/>
    <pivotField numFmtId="9" showAll="0"/>
    <pivotField numFmtId="9" showAll="0"/>
    <pivotField dataField="1" showAll="0"/>
    <pivotField showAll="0"/>
    <pivotField numFmtId="9" showAll="0"/>
    <pivotField showAll="0">
      <items count="6">
        <item x="0"/>
        <item x="4"/>
        <item x="1"/>
        <item x="2"/>
        <item x="3"/>
        <item t="default"/>
      </items>
    </pivotField>
  </pivotFields>
  <rowItems count="1">
    <i/>
  </rowItems>
  <colItems count="1">
    <i/>
  </colItems>
  <dataFields count="1">
    <dataField name="Sum of 5G Subscribers (million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1471C79-C2A0-4494-92A8-DED25EB5586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56:B62" firstHeaderRow="1" firstDataRow="1" firstDataCol="1"/>
  <pivotFields count="12">
    <pivotField showAll="0">
      <items count="7">
        <item x="0"/>
        <item x="1"/>
        <item x="2"/>
        <item x="3"/>
        <item x="4"/>
        <item x="5"/>
        <item t="default"/>
      </items>
    </pivotField>
    <pivotField showAll="0">
      <items count="5">
        <item x="0"/>
        <item x="1"/>
        <item x="2"/>
        <item x="3"/>
        <item t="default"/>
      </items>
    </pivotField>
    <pivotField showAll="0"/>
    <pivotField showAll="0">
      <items count="3">
        <item x="0"/>
        <item x="1"/>
        <item t="default"/>
      </items>
    </pivotField>
    <pivotField numFmtId="4" showAll="0"/>
    <pivotField dataField="1" numFmtId="165" showAll="0"/>
    <pivotField numFmtId="9" showAll="0"/>
    <pivotField numFmtId="9" showAll="0"/>
    <pivotField showAll="0"/>
    <pivotField showAll="0"/>
    <pivotField numFmtId="9" showAll="0"/>
    <pivotField axis="axisRow" showAll="0">
      <items count="6">
        <item x="0"/>
        <item x="4"/>
        <item x="1"/>
        <item x="2"/>
        <item x="3"/>
        <item t="default"/>
      </items>
    </pivotField>
  </pivotFields>
  <rowFields count="1">
    <field x="11"/>
  </rowFields>
  <rowItems count="6">
    <i>
      <x/>
    </i>
    <i>
      <x v="1"/>
    </i>
    <i>
      <x v="2"/>
    </i>
    <i>
      <x v="3"/>
    </i>
    <i>
      <x v="4"/>
    </i>
    <i t="grand">
      <x/>
    </i>
  </rowItems>
  <colItems count="1">
    <i/>
  </colItems>
  <dataFields count="1">
    <dataField name="Sum of Revenue ($)" fld="5" baseField="0" baseItem="0" numFmtId="165"/>
  </dataFields>
  <chartFormats count="6">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1" count="1" selected="0">
            <x v="0"/>
          </reference>
        </references>
      </pivotArea>
    </chartFormat>
    <chartFormat chart="2" format="3">
      <pivotArea type="data" outline="0" fieldPosition="0">
        <references count="2">
          <reference field="4294967294" count="1" selected="0">
            <x v="0"/>
          </reference>
          <reference field="11" count="1" selected="0">
            <x v="1"/>
          </reference>
        </references>
      </pivotArea>
    </chartFormat>
    <chartFormat chart="2" format="4">
      <pivotArea type="data" outline="0" fieldPosition="0">
        <references count="2">
          <reference field="4294967294" count="1" selected="0">
            <x v="0"/>
          </reference>
          <reference field="11" count="1" selected="0">
            <x v="2"/>
          </reference>
        </references>
      </pivotArea>
    </chartFormat>
    <chartFormat chart="2" format="5">
      <pivotArea type="data" outline="0" fieldPosition="0">
        <references count="2">
          <reference field="4294967294" count="1" selected="0">
            <x v="0"/>
          </reference>
          <reference field="11" count="1" selected="0">
            <x v="3"/>
          </reference>
        </references>
      </pivotArea>
    </chartFormat>
    <chartFormat chart="2" format="6">
      <pivotArea type="data" outline="0" fieldPosition="0">
        <references count="2">
          <reference field="4294967294" count="1" selected="0">
            <x v="0"/>
          </reference>
          <reference field="1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AD23752-8DF1-44B7-8531-0F8E72D18AD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5:C41" firstHeaderRow="0" firstDataRow="1" firstDataCol="1"/>
  <pivotFields count="12">
    <pivotField showAll="0">
      <items count="7">
        <item x="0"/>
        <item x="1"/>
        <item x="2"/>
        <item x="3"/>
        <item x="4"/>
        <item x="5"/>
        <item t="default"/>
      </items>
    </pivotField>
    <pivotField showAll="0">
      <items count="5">
        <item x="0"/>
        <item x="1"/>
        <item x="2"/>
        <item x="3"/>
        <item t="default"/>
      </items>
    </pivotField>
    <pivotField axis="axisRow" showAll="0">
      <items count="16">
        <item x="12"/>
        <item x="5"/>
        <item x="6"/>
        <item x="7"/>
        <item x="1"/>
        <item x="3"/>
        <item x="0"/>
        <item x="2"/>
        <item x="4"/>
        <item x="10"/>
        <item x="13"/>
        <item x="9"/>
        <item x="14"/>
        <item x="8"/>
        <item x="11"/>
        <item t="default"/>
      </items>
    </pivotField>
    <pivotField showAll="0">
      <items count="3">
        <item x="0"/>
        <item x="1"/>
        <item t="default"/>
      </items>
    </pivotField>
    <pivotField numFmtId="4" showAll="0"/>
    <pivotField numFmtId="165" showAll="0"/>
    <pivotField numFmtId="9" showAll="0"/>
    <pivotField dataField="1" numFmtId="9" showAll="0"/>
    <pivotField dataField="1" showAll="0"/>
    <pivotField showAll="0"/>
    <pivotField numFmtId="9" showAll="0"/>
    <pivotField showAll="0">
      <items count="6">
        <item x="0"/>
        <item x="4"/>
        <item x="1"/>
        <item x="2"/>
        <item x="3"/>
        <item t="default"/>
      </items>
    </pivotField>
  </pivotFields>
  <rowFields count="1">
    <field x="2"/>
  </rowFields>
  <rowItems count="16">
    <i>
      <x/>
    </i>
    <i>
      <x v="1"/>
    </i>
    <i>
      <x v="2"/>
    </i>
    <i>
      <x v="3"/>
    </i>
    <i>
      <x v="4"/>
    </i>
    <i>
      <x v="5"/>
    </i>
    <i>
      <x v="6"/>
    </i>
    <i>
      <x v="7"/>
    </i>
    <i>
      <x v="8"/>
    </i>
    <i>
      <x v="9"/>
    </i>
    <i>
      <x v="10"/>
    </i>
    <i>
      <x v="11"/>
    </i>
    <i>
      <x v="12"/>
    </i>
    <i>
      <x v="13"/>
    </i>
    <i>
      <x v="14"/>
    </i>
    <i t="grand">
      <x/>
    </i>
  </rowItems>
  <colFields count="1">
    <field x="-2"/>
  </colFields>
  <colItems count="2">
    <i>
      <x/>
    </i>
    <i i="1">
      <x v="1"/>
    </i>
  </colItems>
  <dataFields count="2">
    <dataField name="Average of Regional 5G Coverage (%)" fld="7" subtotal="average" baseField="2" baseItem="0" numFmtId="9"/>
    <dataField name="Average of 5G Subscribers (millions)" fld="8" subtotal="average" baseField="2" baseItem="0"/>
  </dataFields>
  <chartFormats count="2">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30CB693-62C6-44FD-B548-C231470F0149}"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93:B98" firstHeaderRow="1" firstDataRow="1" firstDataCol="1"/>
  <pivotFields count="12">
    <pivotField showAll="0">
      <items count="7">
        <item x="0"/>
        <item x="1"/>
        <item x="2"/>
        <item x="3"/>
        <item x="4"/>
        <item x="5"/>
        <item t="default"/>
      </items>
    </pivotField>
    <pivotField axis="axisRow" showAll="0">
      <items count="5">
        <item x="0"/>
        <item x="1"/>
        <item x="2"/>
        <item x="3"/>
        <item t="default"/>
      </items>
    </pivotField>
    <pivotField showAll="0"/>
    <pivotField showAll="0">
      <items count="3">
        <item x="0"/>
        <item x="1"/>
        <item t="default"/>
      </items>
    </pivotField>
    <pivotField dataField="1" numFmtId="4" showAll="0"/>
    <pivotField numFmtId="165" showAll="0"/>
    <pivotField numFmtId="9" showAll="0"/>
    <pivotField numFmtId="9" showAll="0"/>
    <pivotField showAll="0"/>
    <pivotField showAll="0"/>
    <pivotField numFmtId="9" showAll="0"/>
    <pivotField showAll="0">
      <items count="6">
        <item x="0"/>
        <item x="4"/>
        <item x="1"/>
        <item x="2"/>
        <item x="3"/>
        <item t="default"/>
      </items>
    </pivotField>
  </pivotFields>
  <rowFields count="1">
    <field x="1"/>
  </rowFields>
  <rowItems count="5">
    <i>
      <x/>
    </i>
    <i>
      <x v="1"/>
    </i>
    <i>
      <x v="2"/>
    </i>
    <i>
      <x v="3"/>
    </i>
    <i t="grand">
      <x/>
    </i>
  </rowItems>
  <colItems count="1">
    <i/>
  </colItems>
  <dataFields count="1">
    <dataField name="Sum of Units Sold" fld="4" baseField="0" baseItem="0" numFmtId="4"/>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5752E9E-2A6D-4530-8CDE-90EFD569178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43:C49" firstHeaderRow="0" firstDataRow="1" firstDataCol="1"/>
  <pivotFields count="12">
    <pivotField showAll="0">
      <items count="7">
        <item x="0"/>
        <item x="1"/>
        <item x="2"/>
        <item x="3"/>
        <item x="4"/>
        <item x="5"/>
        <item t="default"/>
      </items>
    </pivotField>
    <pivotField showAll="0">
      <items count="5">
        <item x="0"/>
        <item x="1"/>
        <item x="2"/>
        <item x="3"/>
        <item t="default"/>
      </items>
    </pivotField>
    <pivotField showAll="0"/>
    <pivotField showAll="0">
      <items count="3">
        <item x="0"/>
        <item x="1"/>
        <item t="default"/>
      </items>
    </pivotField>
    <pivotField numFmtId="4" showAll="0"/>
    <pivotField numFmtId="165" showAll="0"/>
    <pivotField numFmtId="9" showAll="0"/>
    <pivotField numFmtId="9" showAll="0"/>
    <pivotField showAll="0"/>
    <pivotField dataField="1" showAll="0"/>
    <pivotField dataField="1" numFmtId="9" showAll="0"/>
    <pivotField axis="axisRow" showAll="0">
      <items count="6">
        <item x="0"/>
        <item x="4"/>
        <item x="1"/>
        <item x="2"/>
        <item x="3"/>
        <item t="default"/>
      </items>
    </pivotField>
  </pivotFields>
  <rowFields count="1">
    <field x="11"/>
  </rowFields>
  <rowItems count="6">
    <i>
      <x/>
    </i>
    <i>
      <x v="1"/>
    </i>
    <i>
      <x v="2"/>
    </i>
    <i>
      <x v="3"/>
    </i>
    <i>
      <x v="4"/>
    </i>
    <i t="grand">
      <x/>
    </i>
  </rowItems>
  <colFields count="1">
    <field x="-2"/>
  </colFields>
  <colItems count="2">
    <i>
      <x/>
    </i>
    <i i="1">
      <x v="1"/>
    </i>
  </colItems>
  <dataFields count="2">
    <dataField name="Average of Avg 5G Speed (Mbps)" fld="9" subtotal="average" baseField="11" baseItem="0"/>
    <dataField name="Average of Preference for 5G (%)" fld="10" subtotal="average" baseField="11" baseItem="0" numFmtId="9"/>
  </dataFields>
  <chartFormats count="2">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2AA157B-9642-4AC0-A9FC-0F55E67B379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74:B90" firstHeaderRow="1" firstDataRow="1" firstDataCol="1"/>
  <pivotFields count="12">
    <pivotField showAll="0">
      <items count="7">
        <item x="0"/>
        <item x="1"/>
        <item x="2"/>
        <item x="3"/>
        <item x="4"/>
        <item x="5"/>
        <item t="default"/>
      </items>
    </pivotField>
    <pivotField showAll="0">
      <items count="5">
        <item x="0"/>
        <item x="1"/>
        <item x="2"/>
        <item x="3"/>
        <item t="default"/>
      </items>
    </pivotField>
    <pivotField axis="axisRow" showAll="0" sortType="descending">
      <items count="16">
        <item x="11"/>
        <item x="8"/>
        <item x="14"/>
        <item x="9"/>
        <item x="13"/>
        <item x="10"/>
        <item x="4"/>
        <item x="2"/>
        <item x="0"/>
        <item x="3"/>
        <item x="1"/>
        <item x="7"/>
        <item x="6"/>
        <item x="5"/>
        <item x="12"/>
        <item t="default"/>
      </items>
    </pivotField>
    <pivotField showAll="0">
      <items count="3">
        <item x="0"/>
        <item x="1"/>
        <item t="default"/>
      </items>
    </pivotField>
    <pivotField numFmtId="4" showAll="0"/>
    <pivotField dataField="1" numFmtId="165" showAll="0"/>
    <pivotField numFmtId="9" showAll="0"/>
    <pivotField numFmtId="9" showAll="0"/>
    <pivotField showAll="0"/>
    <pivotField showAll="0"/>
    <pivotField numFmtId="9" showAll="0"/>
    <pivotField showAll="0">
      <items count="6">
        <item x="0"/>
        <item x="4"/>
        <item x="1"/>
        <item x="2"/>
        <item x="3"/>
        <item t="default"/>
      </items>
    </pivotField>
  </pivotFields>
  <rowFields count="1">
    <field x="2"/>
  </rowFields>
  <rowItems count="16">
    <i>
      <x/>
    </i>
    <i>
      <x v="1"/>
    </i>
    <i>
      <x v="2"/>
    </i>
    <i>
      <x v="3"/>
    </i>
    <i>
      <x v="4"/>
    </i>
    <i>
      <x v="5"/>
    </i>
    <i>
      <x v="6"/>
    </i>
    <i>
      <x v="7"/>
    </i>
    <i>
      <x v="8"/>
    </i>
    <i>
      <x v="9"/>
    </i>
    <i>
      <x v="10"/>
    </i>
    <i>
      <x v="11"/>
    </i>
    <i>
      <x v="12"/>
    </i>
    <i>
      <x v="13"/>
    </i>
    <i>
      <x v="14"/>
    </i>
    <i t="grand">
      <x/>
    </i>
  </rowItems>
  <colItems count="1">
    <i/>
  </colItems>
  <dataFields count="1">
    <dataField name="Sum of Revenue ($)" fld="5" baseField="0" baseItem="0" numFmtId="165"/>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9AA0540-C240-437C-9615-189644E7E67D}" sourceName="Year">
  <pivotTables>
    <pivotTable tabId="4" name="PivotTable6"/>
    <pivotTable tabId="4" name="PivotTable1"/>
    <pivotTable tabId="4" name="PivotTable2"/>
    <pivotTable tabId="4" name="PivotTable3"/>
    <pivotTable tabId="4" name="PivotTable4"/>
    <pivotTable tabId="4" name="PivotTable5"/>
    <pivotTable tabId="4" name="PivotTable7"/>
    <pivotTable tabId="4" name="PivotTable8"/>
    <pivotTable tabId="4" name="PivotTable9"/>
  </pivotTables>
  <data>
    <tabular pivotCacheId="596917008">
      <items count="6">
        <i x="0" s="1"/>
        <i x="1" s="1"/>
        <i x="2" s="1"/>
        <i x="3" s="1"/>
        <i x="4"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AD29F7A2-250C-4E13-ACC3-7BB610947668}" sourceName="Quarter">
  <pivotTables>
    <pivotTable tabId="4" name="PivotTable6"/>
    <pivotTable tabId="4" name="PivotTable1"/>
    <pivotTable tabId="4" name="PivotTable2"/>
    <pivotTable tabId="4" name="PivotTable3"/>
    <pivotTable tabId="4" name="PivotTable4"/>
    <pivotTable tabId="4" name="PivotTable5"/>
    <pivotTable tabId="4" name="PivotTable7"/>
    <pivotTable tabId="4" name="PivotTable8"/>
    <pivotTable tabId="4" name="PivotTable9"/>
  </pivotTables>
  <data>
    <tabular pivotCacheId="596917008">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5G_Capability" xr10:uid="{26BD206D-BD35-4656-9E21-05FE31564FE8}" sourceName="5G Capability">
  <pivotTables>
    <pivotTable tabId="4" name="PivotTable6"/>
    <pivotTable tabId="4" name="PivotTable1"/>
    <pivotTable tabId="4" name="PivotTable2"/>
    <pivotTable tabId="4" name="PivotTable3"/>
    <pivotTable tabId="4" name="PivotTable4"/>
    <pivotTable tabId="4" name="PivotTable5"/>
    <pivotTable tabId="4" name="PivotTable7"/>
    <pivotTable tabId="4" name="PivotTable8"/>
    <pivotTable tabId="4" name="PivotTable9"/>
  </pivotTables>
  <data>
    <tabular pivotCacheId="596917008">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836611E-B191-428E-8C3F-84715B44021D}" sourceName="Region">
  <pivotTables>
    <pivotTable tabId="4" name="PivotTable6"/>
    <pivotTable tabId="4" name="PivotTable1"/>
    <pivotTable tabId="4" name="PivotTable2"/>
    <pivotTable tabId="4" name="PivotTable3"/>
    <pivotTable tabId="4" name="PivotTable4"/>
    <pivotTable tabId="4" name="PivotTable5"/>
    <pivotTable tabId="4" name="PivotTable7"/>
    <pivotTable tabId="4" name="PivotTable8"/>
    <pivotTable tabId="4" name="PivotTable9"/>
  </pivotTables>
  <data>
    <tabular pivotCacheId="596917008">
      <items count="5">
        <i x="0" s="1"/>
        <i x="4"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14CC3690-0585-43A6-B429-8C03A011F166}" cache="Slicer_Year" caption="Year" columnCount="6" style="SlicerStyleDark1" rowHeight="234950"/>
  <slicer name="Quarter" xr10:uid="{991FD905-6C48-46C7-B98F-4ACC30771EE9}" cache="Slicer_Quarter" caption="Quarter" columnCount="2" style="SlicerStyleDark1" rowHeight="234950"/>
  <slicer name="5G Capability" xr10:uid="{04D2A15E-66F6-4FDB-8231-BE2120CB62D8}" cache="Slicer_5G_Capability" caption="5G Capability" columnCount="2" style="SlicerStyleDark1" rowHeight="234950"/>
  <slicer name="Region" xr10:uid="{54C1E48E-3CEB-4282-977F-16F8F42032A3}" cache="Slicer_Region" caption="Region" columnCount="3"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29F31B8-2375-4AE5-B96F-336F80E7D01C}" name="Samsungdata" displayName="Samsungdata" ref="A1:L1001" totalsRowShown="0" headerRowDxfId="13" tableBorderDxfId="12" headerRowCellStyle="Percent">
  <autoFilter ref="A1:L1001" xr:uid="{829F31B8-2375-4AE5-B96F-336F80E7D01C}"/>
  <tableColumns count="12">
    <tableColumn id="1" xr3:uid="{4BB3B3FA-1E9C-4364-A03E-732EE20EA616}" name="Year" dataDxfId="11"/>
    <tableColumn id="2" xr3:uid="{E99CEDB6-99D0-4AF0-8EBD-50C91555D936}" name="Quarter" dataDxfId="10"/>
    <tableColumn id="3" xr3:uid="{0A980B40-42FA-4A9F-86CC-FE9AE4E827D7}" name="Product Model" dataDxfId="9"/>
    <tableColumn id="4" xr3:uid="{3D174A9F-73F4-4C49-8255-ECC8740F8140}" name="5G Capability" dataDxfId="8"/>
    <tableColumn id="5" xr3:uid="{57202197-3AF8-4004-B71B-86A182A86CAA}" name="Units Sold" dataDxfId="7"/>
    <tableColumn id="6" xr3:uid="{52052634-E82D-4A0B-8BCF-7747D87EAB5E}" name="Revenue ($)" dataDxfId="6" dataCellStyle="Currency"/>
    <tableColumn id="7" xr3:uid="{B9E2A683-C59A-4425-8332-96EC6F50AB2C}" name="Market Share (%)" dataDxfId="5"/>
    <tableColumn id="8" xr3:uid="{DE99AECB-7F9B-4C0A-9F66-32B4CCE3F833}" name="Regional 5G Coverage (%)" dataDxfId="4"/>
    <tableColumn id="9" xr3:uid="{10E48F3C-2B34-4163-947C-4520B55C627F}" name="5G Subscribers (millions)" dataDxfId="3"/>
    <tableColumn id="10" xr3:uid="{3C9C1362-6533-4EF7-871D-6088E7CF1E7F}" name="Avg 5G Speed (Mbps)" dataDxfId="2"/>
    <tableColumn id="11" xr3:uid="{36D6486F-9E06-47F0-B5C4-55B261395E31}" name="Preference for 5G (%)" dataDxfId="1" dataCellStyle="Percent"/>
    <tableColumn id="12" xr3:uid="{674F3C60-414D-4612-A434-C2B97DD58785}" name="Region" dataDxfId="0"/>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A284A-C9F1-41E5-AEBF-953E80D395FF}">
  <dimension ref="A1:L1001"/>
  <sheetViews>
    <sheetView topLeftCell="A975" workbookViewId="0">
      <selection sqref="A1:L1001"/>
    </sheetView>
  </sheetViews>
  <sheetFormatPr defaultRowHeight="13.8" x14ac:dyDescent="0.25"/>
  <cols>
    <col min="1" max="1" width="8.69921875" customWidth="1"/>
    <col min="2" max="2" width="8.296875" customWidth="1"/>
    <col min="3" max="3" width="17" customWidth="1"/>
    <col min="4" max="4" width="14.59765625" customWidth="1"/>
    <col min="5" max="5" width="14.5" style="1" customWidth="1"/>
    <col min="6" max="6" width="15" style="2" customWidth="1"/>
    <col min="7" max="7" width="15.59765625" customWidth="1"/>
    <col min="8" max="8" width="24.296875" customWidth="1"/>
    <col min="9" max="9" width="21.69921875" customWidth="1"/>
    <col min="10" max="10" width="19.296875" customWidth="1"/>
    <col min="11" max="11" width="19" customWidth="1"/>
    <col min="12" max="12" width="17.59765625" customWidth="1"/>
  </cols>
  <sheetData>
    <row r="1" spans="1:12" x14ac:dyDescent="0.25">
      <c r="A1" s="6" t="s">
        <v>0</v>
      </c>
      <c r="B1" s="7" t="s">
        <v>1</v>
      </c>
      <c r="C1" s="7" t="s">
        <v>2</v>
      </c>
      <c r="D1" s="7" t="s">
        <v>3</v>
      </c>
      <c r="E1" s="8" t="s">
        <v>4</v>
      </c>
      <c r="F1" s="9" t="s">
        <v>5</v>
      </c>
      <c r="G1" s="7" t="s">
        <v>6</v>
      </c>
      <c r="H1" s="7" t="s">
        <v>7</v>
      </c>
      <c r="I1" s="7" t="s">
        <v>8</v>
      </c>
      <c r="J1" s="7" t="s">
        <v>9</v>
      </c>
      <c r="K1" s="7" t="s">
        <v>10</v>
      </c>
      <c r="L1" s="10" t="s">
        <v>11</v>
      </c>
    </row>
    <row r="2" spans="1:12" x14ac:dyDescent="0.25">
      <c r="A2" s="11">
        <v>2019</v>
      </c>
      <c r="B2" s="12" t="s">
        <v>12</v>
      </c>
      <c r="C2" s="12" t="s">
        <v>13</v>
      </c>
      <c r="D2" s="12" t="s">
        <v>14</v>
      </c>
      <c r="E2" s="13">
        <v>26396</v>
      </c>
      <c r="F2" s="14">
        <v>4212951.0480000004</v>
      </c>
      <c r="G2" s="12">
        <v>1.04</v>
      </c>
      <c r="H2" s="12">
        <v>57.36</v>
      </c>
      <c r="I2" s="12">
        <v>39.549999999999997</v>
      </c>
      <c r="J2" s="12">
        <v>293.10000000000002</v>
      </c>
      <c r="K2" s="12">
        <v>55.87</v>
      </c>
      <c r="L2" s="15" t="s">
        <v>15</v>
      </c>
    </row>
    <row r="3" spans="1:12" x14ac:dyDescent="0.25">
      <c r="A3" s="16">
        <v>2019</v>
      </c>
      <c r="B3" s="17" t="s">
        <v>12</v>
      </c>
      <c r="C3" s="17" t="s">
        <v>16</v>
      </c>
      <c r="D3" s="17" t="s">
        <v>14</v>
      </c>
      <c r="E3" s="18">
        <v>25671</v>
      </c>
      <c r="F3" s="19">
        <v>7240265.60399999</v>
      </c>
      <c r="G3" s="17">
        <v>2.82</v>
      </c>
      <c r="H3" s="17">
        <v>85.8</v>
      </c>
      <c r="I3" s="17">
        <v>42.58</v>
      </c>
      <c r="J3" s="17">
        <v>67.459999999999994</v>
      </c>
      <c r="K3" s="17">
        <v>37.26</v>
      </c>
      <c r="L3" s="20" t="s">
        <v>17</v>
      </c>
    </row>
    <row r="4" spans="1:12" x14ac:dyDescent="0.25">
      <c r="A4" s="11">
        <v>2019</v>
      </c>
      <c r="B4" s="12" t="s">
        <v>12</v>
      </c>
      <c r="C4" s="12" t="s">
        <v>18</v>
      </c>
      <c r="D4" s="12" t="s">
        <v>14</v>
      </c>
      <c r="E4" s="13">
        <v>16573</v>
      </c>
      <c r="F4" s="14">
        <v>25608331.510000002</v>
      </c>
      <c r="G4" s="12">
        <v>-0.03</v>
      </c>
      <c r="H4" s="12">
        <v>47.02</v>
      </c>
      <c r="I4" s="12">
        <v>3.78</v>
      </c>
      <c r="J4" s="12">
        <v>77.25</v>
      </c>
      <c r="K4" s="12">
        <v>84.66</v>
      </c>
      <c r="L4" s="15" t="s">
        <v>19</v>
      </c>
    </row>
    <row r="5" spans="1:12" x14ac:dyDescent="0.25">
      <c r="A5" s="16">
        <v>2019</v>
      </c>
      <c r="B5" s="17" t="s">
        <v>12</v>
      </c>
      <c r="C5" s="17" t="s">
        <v>20</v>
      </c>
      <c r="D5" s="17" t="s">
        <v>14</v>
      </c>
      <c r="E5" s="18">
        <v>7177</v>
      </c>
      <c r="F5" s="19">
        <v>21984415.829999998</v>
      </c>
      <c r="G5" s="17">
        <v>0.84</v>
      </c>
      <c r="H5" s="17">
        <v>25.7</v>
      </c>
      <c r="I5" s="17">
        <v>23.41</v>
      </c>
      <c r="J5" s="17">
        <v>105.27</v>
      </c>
      <c r="K5" s="17">
        <v>40.03</v>
      </c>
      <c r="L5" s="20" t="s">
        <v>21</v>
      </c>
    </row>
    <row r="6" spans="1:12" x14ac:dyDescent="0.25">
      <c r="A6" s="11">
        <v>2019</v>
      </c>
      <c r="B6" s="12" t="s">
        <v>12</v>
      </c>
      <c r="C6" s="12" t="s">
        <v>22</v>
      </c>
      <c r="D6" s="12" t="s">
        <v>14</v>
      </c>
      <c r="E6" s="13">
        <v>45633</v>
      </c>
      <c r="F6" s="14">
        <v>16342437.5</v>
      </c>
      <c r="G6" s="12">
        <v>2.36</v>
      </c>
      <c r="H6" s="12">
        <v>89.13</v>
      </c>
      <c r="I6" s="12">
        <v>44.43</v>
      </c>
      <c r="J6" s="12">
        <v>206.17</v>
      </c>
      <c r="K6" s="12">
        <v>76.88</v>
      </c>
      <c r="L6" s="15" t="s">
        <v>17</v>
      </c>
    </row>
    <row r="7" spans="1:12" x14ac:dyDescent="0.25">
      <c r="A7" s="16">
        <v>2019</v>
      </c>
      <c r="B7" s="17" t="s">
        <v>12</v>
      </c>
      <c r="C7" s="17" t="s">
        <v>23</v>
      </c>
      <c r="D7" s="17" t="s">
        <v>24</v>
      </c>
      <c r="E7" s="18">
        <v>15912</v>
      </c>
      <c r="F7" s="19">
        <v>17178326.899999999</v>
      </c>
      <c r="G7" s="17">
        <v>5.41</v>
      </c>
      <c r="H7" s="17">
        <v>59.12</v>
      </c>
      <c r="I7" s="17">
        <v>12.14</v>
      </c>
      <c r="J7" s="17">
        <v>179.15</v>
      </c>
      <c r="K7" s="17">
        <v>80.790000000000006</v>
      </c>
      <c r="L7" s="20" t="s">
        <v>19</v>
      </c>
    </row>
    <row r="8" spans="1:12" x14ac:dyDescent="0.25">
      <c r="A8" s="11">
        <v>2019</v>
      </c>
      <c r="B8" s="12" t="s">
        <v>12</v>
      </c>
      <c r="C8" s="12" t="s">
        <v>25</v>
      </c>
      <c r="D8" s="12" t="s">
        <v>24</v>
      </c>
      <c r="E8" s="13">
        <v>7231</v>
      </c>
      <c r="F8" s="14">
        <v>48639810.189999998</v>
      </c>
      <c r="G8" s="12">
        <v>5.9</v>
      </c>
      <c r="H8" s="12">
        <v>52.94</v>
      </c>
      <c r="I8" s="12">
        <v>44.36</v>
      </c>
      <c r="J8" s="12">
        <v>259.16000000000003</v>
      </c>
      <c r="K8" s="12">
        <v>77.55</v>
      </c>
      <c r="L8" s="15" t="s">
        <v>17</v>
      </c>
    </row>
    <row r="9" spans="1:12" x14ac:dyDescent="0.25">
      <c r="A9" s="16">
        <v>2019</v>
      </c>
      <c r="B9" s="17" t="s">
        <v>12</v>
      </c>
      <c r="C9" s="17" t="s">
        <v>26</v>
      </c>
      <c r="D9" s="17" t="s">
        <v>24</v>
      </c>
      <c r="E9" s="18">
        <v>58711</v>
      </c>
      <c r="F9" s="19">
        <v>70175779.069999993</v>
      </c>
      <c r="G9" s="17">
        <v>4.92</v>
      </c>
      <c r="H9" s="17">
        <v>79.95</v>
      </c>
      <c r="I9" s="17">
        <v>49.7</v>
      </c>
      <c r="J9" s="17">
        <v>191.42</v>
      </c>
      <c r="K9" s="17">
        <v>74.83</v>
      </c>
      <c r="L9" s="20" t="s">
        <v>27</v>
      </c>
    </row>
    <row r="10" spans="1:12" x14ac:dyDescent="0.25">
      <c r="A10" s="11">
        <v>2019</v>
      </c>
      <c r="B10" s="12" t="s">
        <v>12</v>
      </c>
      <c r="C10" s="12" t="s">
        <v>28</v>
      </c>
      <c r="D10" s="12" t="s">
        <v>24</v>
      </c>
      <c r="E10" s="13">
        <v>40641</v>
      </c>
      <c r="F10" s="14">
        <v>51959555.759999998</v>
      </c>
      <c r="G10" s="12">
        <v>2.64</v>
      </c>
      <c r="H10" s="12">
        <v>44.77</v>
      </c>
      <c r="I10" s="12">
        <v>31.27</v>
      </c>
      <c r="J10" s="12">
        <v>151.18</v>
      </c>
      <c r="K10" s="12">
        <v>66.509999999999906</v>
      </c>
      <c r="L10" s="15" t="s">
        <v>21</v>
      </c>
    </row>
    <row r="11" spans="1:12" x14ac:dyDescent="0.25">
      <c r="A11" s="16">
        <v>2019</v>
      </c>
      <c r="B11" s="17" t="s">
        <v>12</v>
      </c>
      <c r="C11" s="17" t="s">
        <v>29</v>
      </c>
      <c r="D11" s="17" t="s">
        <v>24</v>
      </c>
      <c r="E11" s="18">
        <v>38119</v>
      </c>
      <c r="F11" s="19">
        <v>49899540.799999997</v>
      </c>
      <c r="G11" s="17">
        <v>6.84</v>
      </c>
      <c r="H11" s="17">
        <v>51.21</v>
      </c>
      <c r="I11" s="17">
        <v>38.33</v>
      </c>
      <c r="J11" s="17">
        <v>284.33</v>
      </c>
      <c r="K11" s="17">
        <v>87.01</v>
      </c>
      <c r="L11" s="20" t="s">
        <v>17</v>
      </c>
    </row>
    <row r="12" spans="1:12" x14ac:dyDescent="0.25">
      <c r="A12" s="11">
        <v>2019</v>
      </c>
      <c r="B12" s="12" t="s">
        <v>12</v>
      </c>
      <c r="C12" s="12" t="s">
        <v>30</v>
      </c>
      <c r="D12" s="12" t="s">
        <v>24</v>
      </c>
      <c r="E12" s="13">
        <v>36255</v>
      </c>
      <c r="F12" s="14">
        <v>12091673.939999999</v>
      </c>
      <c r="G12" s="12">
        <v>4.66</v>
      </c>
      <c r="H12" s="12">
        <v>56.5</v>
      </c>
      <c r="I12" s="12">
        <v>9.77</v>
      </c>
      <c r="J12" s="12">
        <v>81.430000000000007</v>
      </c>
      <c r="K12" s="12">
        <v>85.88</v>
      </c>
      <c r="L12" s="15" t="s">
        <v>19</v>
      </c>
    </row>
    <row r="13" spans="1:12" x14ac:dyDescent="0.25">
      <c r="A13" s="16">
        <v>2019</v>
      </c>
      <c r="B13" s="17" t="s">
        <v>12</v>
      </c>
      <c r="C13" s="17" t="s">
        <v>31</v>
      </c>
      <c r="D13" s="17" t="s">
        <v>24</v>
      </c>
      <c r="E13" s="18">
        <v>19643</v>
      </c>
      <c r="F13" s="19">
        <v>36029498.520000003</v>
      </c>
      <c r="G13" s="17">
        <v>5.67</v>
      </c>
      <c r="H13" s="17">
        <v>76.62</v>
      </c>
      <c r="I13" s="17">
        <v>22.84</v>
      </c>
      <c r="J13" s="17">
        <v>220.82</v>
      </c>
      <c r="K13" s="17">
        <v>88.16</v>
      </c>
      <c r="L13" s="20" t="s">
        <v>15</v>
      </c>
    </row>
    <row r="14" spans="1:12" x14ac:dyDescent="0.25">
      <c r="A14" s="11">
        <v>2019</v>
      </c>
      <c r="B14" s="12" t="s">
        <v>12</v>
      </c>
      <c r="C14" s="12" t="s">
        <v>32</v>
      </c>
      <c r="D14" s="12" t="s">
        <v>24</v>
      </c>
      <c r="E14" s="13">
        <v>12612</v>
      </c>
      <c r="F14" s="14">
        <v>57161551.82</v>
      </c>
      <c r="G14" s="12">
        <v>3.24</v>
      </c>
      <c r="H14" s="12">
        <v>64.479999999999905</v>
      </c>
      <c r="I14" s="12">
        <v>14.98</v>
      </c>
      <c r="J14" s="12">
        <v>161.49</v>
      </c>
      <c r="K14" s="12">
        <v>85.67</v>
      </c>
      <c r="L14" s="15" t="s">
        <v>19</v>
      </c>
    </row>
    <row r="15" spans="1:12" x14ac:dyDescent="0.25">
      <c r="A15" s="16">
        <v>2019</v>
      </c>
      <c r="B15" s="17" t="s">
        <v>12</v>
      </c>
      <c r="C15" s="17" t="s">
        <v>33</v>
      </c>
      <c r="D15" s="17" t="s">
        <v>24</v>
      </c>
      <c r="E15" s="18">
        <v>22722</v>
      </c>
      <c r="F15" s="19">
        <v>45310946.807999998</v>
      </c>
      <c r="G15" s="17">
        <v>2.88</v>
      </c>
      <c r="H15" s="17">
        <v>87.12</v>
      </c>
      <c r="I15" s="17">
        <v>19.04</v>
      </c>
      <c r="J15" s="17">
        <v>233.87</v>
      </c>
      <c r="K15" s="17">
        <v>45.66</v>
      </c>
      <c r="L15" s="20" t="s">
        <v>27</v>
      </c>
    </row>
    <row r="16" spans="1:12" x14ac:dyDescent="0.25">
      <c r="A16" s="11">
        <v>2019</v>
      </c>
      <c r="B16" s="12" t="s">
        <v>12</v>
      </c>
      <c r="C16" s="12" t="s">
        <v>34</v>
      </c>
      <c r="D16" s="12" t="s">
        <v>24</v>
      </c>
      <c r="E16" s="13">
        <v>8453</v>
      </c>
      <c r="F16" s="14">
        <v>46937282.289999999</v>
      </c>
      <c r="G16" s="12">
        <v>3.48</v>
      </c>
      <c r="H16" s="12">
        <v>72.729999999999905</v>
      </c>
      <c r="I16" s="12">
        <v>23.32</v>
      </c>
      <c r="J16" s="12">
        <v>130.87</v>
      </c>
      <c r="K16" s="12">
        <v>53.81</v>
      </c>
      <c r="L16" s="15" t="s">
        <v>17</v>
      </c>
    </row>
    <row r="17" spans="1:12" x14ac:dyDescent="0.25">
      <c r="A17" s="16">
        <v>2019</v>
      </c>
      <c r="B17" s="17" t="s">
        <v>35</v>
      </c>
      <c r="C17" s="17" t="s">
        <v>13</v>
      </c>
      <c r="D17" s="17" t="s">
        <v>14</v>
      </c>
      <c r="E17" s="18">
        <v>19160</v>
      </c>
      <c r="F17" s="19">
        <v>6660064.7999999998</v>
      </c>
      <c r="G17" s="17">
        <v>1.56</v>
      </c>
      <c r="H17" s="17">
        <v>67.69</v>
      </c>
      <c r="I17" s="17">
        <v>14.6</v>
      </c>
      <c r="J17" s="17">
        <v>156.93</v>
      </c>
      <c r="K17" s="17">
        <v>64.040000000000006</v>
      </c>
      <c r="L17" s="20" t="s">
        <v>19</v>
      </c>
    </row>
    <row r="18" spans="1:12" x14ac:dyDescent="0.25">
      <c r="A18" s="11">
        <v>2019</v>
      </c>
      <c r="B18" s="12" t="s">
        <v>35</v>
      </c>
      <c r="C18" s="12" t="s">
        <v>16</v>
      </c>
      <c r="D18" s="12" t="s">
        <v>14</v>
      </c>
      <c r="E18" s="13">
        <v>38253</v>
      </c>
      <c r="F18" s="14">
        <v>53195937.002999999</v>
      </c>
      <c r="G18" s="12">
        <v>-0.05</v>
      </c>
      <c r="H18" s="12">
        <v>76.73</v>
      </c>
      <c r="I18" s="12">
        <v>31.96</v>
      </c>
      <c r="J18" s="12">
        <v>273.85000000000002</v>
      </c>
      <c r="K18" s="12">
        <v>38.28</v>
      </c>
      <c r="L18" s="15" t="s">
        <v>19</v>
      </c>
    </row>
    <row r="19" spans="1:12" x14ac:dyDescent="0.25">
      <c r="A19" s="16">
        <v>2019</v>
      </c>
      <c r="B19" s="17" t="s">
        <v>35</v>
      </c>
      <c r="C19" s="17" t="s">
        <v>18</v>
      </c>
      <c r="D19" s="17" t="s">
        <v>14</v>
      </c>
      <c r="E19" s="18">
        <v>17404</v>
      </c>
      <c r="F19" s="19">
        <v>14950208.85</v>
      </c>
      <c r="G19" s="17">
        <v>2.5099999999999998</v>
      </c>
      <c r="H19" s="17">
        <v>38.86</v>
      </c>
      <c r="I19" s="17">
        <v>36.380000000000003</v>
      </c>
      <c r="J19" s="17">
        <v>105.21</v>
      </c>
      <c r="K19" s="17">
        <v>67.78</v>
      </c>
      <c r="L19" s="20" t="s">
        <v>19</v>
      </c>
    </row>
    <row r="20" spans="1:12" x14ac:dyDescent="0.25">
      <c r="A20" s="11">
        <v>2019</v>
      </c>
      <c r="B20" s="12" t="s">
        <v>35</v>
      </c>
      <c r="C20" s="12" t="s">
        <v>20</v>
      </c>
      <c r="D20" s="12" t="s">
        <v>14</v>
      </c>
      <c r="E20" s="13">
        <v>27841</v>
      </c>
      <c r="F20" s="14">
        <v>9787426.5150000006</v>
      </c>
      <c r="G20" s="12">
        <v>3.96</v>
      </c>
      <c r="H20" s="12">
        <v>75.22</v>
      </c>
      <c r="I20" s="12">
        <v>46.41</v>
      </c>
      <c r="J20" s="12">
        <v>283.25</v>
      </c>
      <c r="K20" s="12">
        <v>44.96</v>
      </c>
      <c r="L20" s="15" t="s">
        <v>19</v>
      </c>
    </row>
    <row r="21" spans="1:12" x14ac:dyDescent="0.25">
      <c r="A21" s="16">
        <v>2019</v>
      </c>
      <c r="B21" s="17" t="s">
        <v>35</v>
      </c>
      <c r="C21" s="17" t="s">
        <v>22</v>
      </c>
      <c r="D21" s="17" t="s">
        <v>14</v>
      </c>
      <c r="E21" s="18">
        <v>10047</v>
      </c>
      <c r="F21" s="19">
        <v>10691516.9</v>
      </c>
      <c r="G21" s="17">
        <v>1.56</v>
      </c>
      <c r="H21" s="17">
        <v>45.75</v>
      </c>
      <c r="I21" s="17">
        <v>15.36</v>
      </c>
      <c r="J21" s="17">
        <v>112.81</v>
      </c>
      <c r="K21" s="17">
        <v>85.33</v>
      </c>
      <c r="L21" s="20" t="s">
        <v>19</v>
      </c>
    </row>
    <row r="22" spans="1:12" x14ac:dyDescent="0.25">
      <c r="A22" s="11">
        <v>2019</v>
      </c>
      <c r="B22" s="12" t="s">
        <v>35</v>
      </c>
      <c r="C22" s="12" t="s">
        <v>23</v>
      </c>
      <c r="D22" s="12" t="s">
        <v>24</v>
      </c>
      <c r="E22" s="13">
        <v>25054</v>
      </c>
      <c r="F22" s="14">
        <v>40495943.740000002</v>
      </c>
      <c r="G22" s="12">
        <v>4.6399999999999997</v>
      </c>
      <c r="H22" s="12">
        <v>67.39</v>
      </c>
      <c r="I22" s="12">
        <v>21.03</v>
      </c>
      <c r="J22" s="12">
        <v>212.78</v>
      </c>
      <c r="K22" s="12">
        <v>63.69</v>
      </c>
      <c r="L22" s="15" t="s">
        <v>27</v>
      </c>
    </row>
    <row r="23" spans="1:12" x14ac:dyDescent="0.25">
      <c r="A23" s="16">
        <v>2019</v>
      </c>
      <c r="B23" s="17" t="s">
        <v>35</v>
      </c>
      <c r="C23" s="17" t="s">
        <v>25</v>
      </c>
      <c r="D23" s="17" t="s">
        <v>24</v>
      </c>
      <c r="E23" s="18">
        <v>37263</v>
      </c>
      <c r="F23" s="19">
        <v>29763310.309999999</v>
      </c>
      <c r="G23" s="17">
        <v>2.76</v>
      </c>
      <c r="H23" s="17">
        <v>55.56</v>
      </c>
      <c r="I23" s="17">
        <v>16.03</v>
      </c>
      <c r="J23" s="17">
        <v>263.32</v>
      </c>
      <c r="K23" s="17">
        <v>64.63</v>
      </c>
      <c r="L23" s="20" t="s">
        <v>15</v>
      </c>
    </row>
    <row r="24" spans="1:12" x14ac:dyDescent="0.25">
      <c r="A24" s="11">
        <v>2019</v>
      </c>
      <c r="B24" s="12" t="s">
        <v>35</v>
      </c>
      <c r="C24" s="12" t="s">
        <v>26</v>
      </c>
      <c r="D24" s="12" t="s">
        <v>24</v>
      </c>
      <c r="E24" s="13">
        <v>39191</v>
      </c>
      <c r="F24" s="14">
        <v>19631909.34</v>
      </c>
      <c r="G24" s="12">
        <v>3.35</v>
      </c>
      <c r="H24" s="12">
        <v>100.83</v>
      </c>
      <c r="I24" s="12">
        <v>49.18</v>
      </c>
      <c r="J24" s="12">
        <v>59.84</v>
      </c>
      <c r="K24" s="12">
        <v>53.2</v>
      </c>
      <c r="L24" s="15" t="s">
        <v>21</v>
      </c>
    </row>
    <row r="25" spans="1:12" x14ac:dyDescent="0.25">
      <c r="A25" s="16">
        <v>2019</v>
      </c>
      <c r="B25" s="17" t="s">
        <v>35</v>
      </c>
      <c r="C25" s="17" t="s">
        <v>28</v>
      </c>
      <c r="D25" s="17" t="s">
        <v>24</v>
      </c>
      <c r="E25" s="18">
        <v>11320</v>
      </c>
      <c r="F25" s="19">
        <v>36678245.920000002</v>
      </c>
      <c r="G25" s="17">
        <v>5.99</v>
      </c>
      <c r="H25" s="17">
        <v>50.12</v>
      </c>
      <c r="I25" s="17">
        <v>43.18</v>
      </c>
      <c r="J25" s="17">
        <v>251.51</v>
      </c>
      <c r="K25" s="17">
        <v>88.81</v>
      </c>
      <c r="L25" s="20" t="s">
        <v>21</v>
      </c>
    </row>
    <row r="26" spans="1:12" x14ac:dyDescent="0.25">
      <c r="A26" s="11">
        <v>2019</v>
      </c>
      <c r="B26" s="12" t="s">
        <v>35</v>
      </c>
      <c r="C26" s="12" t="s">
        <v>29</v>
      </c>
      <c r="D26" s="12" t="s">
        <v>24</v>
      </c>
      <c r="E26" s="13">
        <v>31105</v>
      </c>
      <c r="F26" s="14">
        <v>12818738.02</v>
      </c>
      <c r="G26" s="12">
        <v>4.7699999999999996</v>
      </c>
      <c r="H26" s="12">
        <v>93.04</v>
      </c>
      <c r="I26" s="12">
        <v>20.52</v>
      </c>
      <c r="J26" s="12">
        <v>110.55</v>
      </c>
      <c r="K26" s="12">
        <v>73.069999999999993</v>
      </c>
      <c r="L26" s="15" t="s">
        <v>21</v>
      </c>
    </row>
    <row r="27" spans="1:12" x14ac:dyDescent="0.25">
      <c r="A27" s="16">
        <v>2019</v>
      </c>
      <c r="B27" s="17" t="s">
        <v>35</v>
      </c>
      <c r="C27" s="17" t="s">
        <v>30</v>
      </c>
      <c r="D27" s="17" t="s">
        <v>24</v>
      </c>
      <c r="E27" s="18">
        <v>24185</v>
      </c>
      <c r="F27" s="19">
        <v>52192972.549999997</v>
      </c>
      <c r="G27" s="17">
        <v>2.95</v>
      </c>
      <c r="H27" s="17">
        <v>40.549999999999997</v>
      </c>
      <c r="I27" s="17">
        <v>46.73</v>
      </c>
      <c r="J27" s="17">
        <v>200.47</v>
      </c>
      <c r="K27" s="17">
        <v>83.06</v>
      </c>
      <c r="L27" s="20" t="s">
        <v>19</v>
      </c>
    </row>
    <row r="28" spans="1:12" x14ac:dyDescent="0.25">
      <c r="A28" s="11">
        <v>2019</v>
      </c>
      <c r="B28" s="12" t="s">
        <v>35</v>
      </c>
      <c r="C28" s="12" t="s">
        <v>31</v>
      </c>
      <c r="D28" s="12" t="s">
        <v>24</v>
      </c>
      <c r="E28" s="13">
        <v>8422</v>
      </c>
      <c r="F28" s="14">
        <v>11292488.050000001</v>
      </c>
      <c r="G28" s="12">
        <v>6</v>
      </c>
      <c r="H28" s="12">
        <v>55.76</v>
      </c>
      <c r="I28" s="12">
        <v>30.55</v>
      </c>
      <c r="J28" s="12">
        <v>170.31</v>
      </c>
      <c r="K28" s="12">
        <v>78.44</v>
      </c>
      <c r="L28" s="15" t="s">
        <v>17</v>
      </c>
    </row>
    <row r="29" spans="1:12" x14ac:dyDescent="0.25">
      <c r="A29" s="16">
        <v>2019</v>
      </c>
      <c r="B29" s="17" t="s">
        <v>35</v>
      </c>
      <c r="C29" s="17" t="s">
        <v>32</v>
      </c>
      <c r="D29" s="17" t="s">
        <v>24</v>
      </c>
      <c r="E29" s="18">
        <v>56397</v>
      </c>
      <c r="F29" s="19">
        <v>18390883.850000001</v>
      </c>
      <c r="G29" s="17">
        <v>6.11</v>
      </c>
      <c r="H29" s="17">
        <v>70.959999999999994</v>
      </c>
      <c r="I29" s="17">
        <v>23.8</v>
      </c>
      <c r="J29" s="17">
        <v>167.75</v>
      </c>
      <c r="K29" s="17">
        <v>55.21</v>
      </c>
      <c r="L29" s="20" t="s">
        <v>21</v>
      </c>
    </row>
    <row r="30" spans="1:12" x14ac:dyDescent="0.25">
      <c r="A30" s="11">
        <v>2019</v>
      </c>
      <c r="B30" s="12" t="s">
        <v>35</v>
      </c>
      <c r="C30" s="12" t="s">
        <v>33</v>
      </c>
      <c r="D30" s="12" t="s">
        <v>24</v>
      </c>
      <c r="E30" s="13">
        <v>36613</v>
      </c>
      <c r="F30" s="14">
        <v>63070767.789999999</v>
      </c>
      <c r="G30" s="12">
        <v>3.25</v>
      </c>
      <c r="H30" s="12">
        <v>83.96</v>
      </c>
      <c r="I30" s="12">
        <v>13.22</v>
      </c>
      <c r="J30" s="12">
        <v>280.73</v>
      </c>
      <c r="K30" s="12">
        <v>75.510000000000005</v>
      </c>
      <c r="L30" s="15" t="s">
        <v>21</v>
      </c>
    </row>
    <row r="31" spans="1:12" x14ac:dyDescent="0.25">
      <c r="A31" s="16">
        <v>2019</v>
      </c>
      <c r="B31" s="17" t="s">
        <v>35</v>
      </c>
      <c r="C31" s="17" t="s">
        <v>34</v>
      </c>
      <c r="D31" s="17" t="s">
        <v>24</v>
      </c>
      <c r="E31" s="18">
        <v>12030</v>
      </c>
      <c r="F31" s="19">
        <v>33549565.920000002</v>
      </c>
      <c r="G31" s="17">
        <v>5.82</v>
      </c>
      <c r="H31" s="17">
        <v>48.62</v>
      </c>
      <c r="I31" s="17">
        <v>36.32</v>
      </c>
      <c r="J31" s="17">
        <v>227.63</v>
      </c>
      <c r="K31" s="17">
        <v>91.79</v>
      </c>
      <c r="L31" s="20" t="s">
        <v>17</v>
      </c>
    </row>
    <row r="32" spans="1:12" x14ac:dyDescent="0.25">
      <c r="A32" s="11">
        <v>2019</v>
      </c>
      <c r="B32" s="12" t="s">
        <v>36</v>
      </c>
      <c r="C32" s="12" t="s">
        <v>13</v>
      </c>
      <c r="D32" s="12" t="s">
        <v>14</v>
      </c>
      <c r="E32" s="13">
        <v>27112</v>
      </c>
      <c r="F32" s="14">
        <v>27051337.739999998</v>
      </c>
      <c r="G32" s="12">
        <v>3.78</v>
      </c>
      <c r="H32" s="12">
        <v>61.35</v>
      </c>
      <c r="I32" s="12">
        <v>47.48</v>
      </c>
      <c r="J32" s="12">
        <v>152</v>
      </c>
      <c r="K32" s="12">
        <v>50.23</v>
      </c>
      <c r="L32" s="15" t="s">
        <v>21</v>
      </c>
    </row>
    <row r="33" spans="1:12" x14ac:dyDescent="0.25">
      <c r="A33" s="16">
        <v>2019</v>
      </c>
      <c r="B33" s="17" t="s">
        <v>36</v>
      </c>
      <c r="C33" s="17" t="s">
        <v>16</v>
      </c>
      <c r="D33" s="17" t="s">
        <v>14</v>
      </c>
      <c r="E33" s="18">
        <v>28788</v>
      </c>
      <c r="F33" s="19">
        <v>10130230.560000001</v>
      </c>
      <c r="G33" s="17">
        <v>1.38</v>
      </c>
      <c r="H33" s="17">
        <v>25.88</v>
      </c>
      <c r="I33" s="17">
        <v>6.92</v>
      </c>
      <c r="J33" s="17">
        <v>129.04</v>
      </c>
      <c r="K33" s="17">
        <v>46.41</v>
      </c>
      <c r="L33" s="20" t="s">
        <v>19</v>
      </c>
    </row>
    <row r="34" spans="1:12" x14ac:dyDescent="0.25">
      <c r="A34" s="11">
        <v>2019</v>
      </c>
      <c r="B34" s="12" t="s">
        <v>36</v>
      </c>
      <c r="C34" s="12" t="s">
        <v>18</v>
      </c>
      <c r="D34" s="12" t="s">
        <v>14</v>
      </c>
      <c r="E34" s="13">
        <v>29329</v>
      </c>
      <c r="F34" s="14">
        <v>11066723.119999999</v>
      </c>
      <c r="G34" s="12">
        <v>1.23</v>
      </c>
      <c r="H34" s="12">
        <v>57.98</v>
      </c>
      <c r="I34" s="12">
        <v>32.340000000000003</v>
      </c>
      <c r="J34" s="12">
        <v>132.81</v>
      </c>
      <c r="K34" s="12">
        <v>77.31</v>
      </c>
      <c r="L34" s="15" t="s">
        <v>15</v>
      </c>
    </row>
    <row r="35" spans="1:12" x14ac:dyDescent="0.25">
      <c r="A35" s="16">
        <v>2019</v>
      </c>
      <c r="B35" s="17" t="s">
        <v>36</v>
      </c>
      <c r="C35" s="17" t="s">
        <v>20</v>
      </c>
      <c r="D35" s="17" t="s">
        <v>14</v>
      </c>
      <c r="E35" s="18">
        <v>12535</v>
      </c>
      <c r="F35" s="19">
        <v>28466176.109999999</v>
      </c>
      <c r="G35" s="17">
        <v>2.09</v>
      </c>
      <c r="H35" s="17">
        <v>55.61</v>
      </c>
      <c r="I35" s="17">
        <v>31.12</v>
      </c>
      <c r="J35" s="17">
        <v>111.28</v>
      </c>
      <c r="K35" s="17">
        <v>47.14</v>
      </c>
      <c r="L35" s="20" t="s">
        <v>17</v>
      </c>
    </row>
    <row r="36" spans="1:12" x14ac:dyDescent="0.25">
      <c r="A36" s="11">
        <v>2019</v>
      </c>
      <c r="B36" s="12" t="s">
        <v>36</v>
      </c>
      <c r="C36" s="12" t="s">
        <v>22</v>
      </c>
      <c r="D36" s="12" t="s">
        <v>14</v>
      </c>
      <c r="E36" s="13">
        <v>20683</v>
      </c>
      <c r="F36" s="14">
        <v>15828498.960000001</v>
      </c>
      <c r="G36" s="12">
        <v>0.34</v>
      </c>
      <c r="H36" s="12">
        <v>30.32</v>
      </c>
      <c r="I36" s="12">
        <v>-0.65</v>
      </c>
      <c r="J36" s="12">
        <v>239.67</v>
      </c>
      <c r="K36" s="12">
        <v>46.13</v>
      </c>
      <c r="L36" s="15" t="s">
        <v>27</v>
      </c>
    </row>
    <row r="37" spans="1:12" x14ac:dyDescent="0.25">
      <c r="A37" s="16">
        <v>2019</v>
      </c>
      <c r="B37" s="17" t="s">
        <v>36</v>
      </c>
      <c r="C37" s="17" t="s">
        <v>23</v>
      </c>
      <c r="D37" s="17" t="s">
        <v>24</v>
      </c>
      <c r="E37" s="18">
        <v>57404</v>
      </c>
      <c r="F37" s="19">
        <v>22248956.960000001</v>
      </c>
      <c r="G37" s="17">
        <v>6.12</v>
      </c>
      <c r="H37" s="17">
        <v>83.5</v>
      </c>
      <c r="I37" s="17">
        <v>46.57</v>
      </c>
      <c r="J37" s="17">
        <v>211.08</v>
      </c>
      <c r="K37" s="17">
        <v>58.89</v>
      </c>
      <c r="L37" s="20" t="s">
        <v>27</v>
      </c>
    </row>
    <row r="38" spans="1:12" x14ac:dyDescent="0.25">
      <c r="A38" s="11">
        <v>2019</v>
      </c>
      <c r="B38" s="12" t="s">
        <v>36</v>
      </c>
      <c r="C38" s="12" t="s">
        <v>25</v>
      </c>
      <c r="D38" s="12" t="s">
        <v>24</v>
      </c>
      <c r="E38" s="13">
        <v>56869</v>
      </c>
      <c r="F38" s="14">
        <v>78970161.311999902</v>
      </c>
      <c r="G38" s="12">
        <v>6.12</v>
      </c>
      <c r="H38" s="12">
        <v>102.54</v>
      </c>
      <c r="I38" s="12">
        <v>21.09</v>
      </c>
      <c r="J38" s="12">
        <v>83.18</v>
      </c>
      <c r="K38" s="12">
        <v>94.7</v>
      </c>
      <c r="L38" s="15" t="s">
        <v>17</v>
      </c>
    </row>
    <row r="39" spans="1:12" x14ac:dyDescent="0.25">
      <c r="A39" s="16">
        <v>2019</v>
      </c>
      <c r="B39" s="17" t="s">
        <v>36</v>
      </c>
      <c r="C39" s="17" t="s">
        <v>26</v>
      </c>
      <c r="D39" s="17" t="s">
        <v>24</v>
      </c>
      <c r="E39" s="18">
        <v>6542</v>
      </c>
      <c r="F39" s="19">
        <v>13222480.68</v>
      </c>
      <c r="G39" s="17">
        <v>3.5</v>
      </c>
      <c r="H39" s="17">
        <v>88.84</v>
      </c>
      <c r="I39" s="17">
        <v>26.74</v>
      </c>
      <c r="J39" s="17">
        <v>115.63</v>
      </c>
      <c r="K39" s="17">
        <v>54.75</v>
      </c>
      <c r="L39" s="20" t="s">
        <v>15</v>
      </c>
    </row>
    <row r="40" spans="1:12" x14ac:dyDescent="0.25">
      <c r="A40" s="11">
        <v>2019</v>
      </c>
      <c r="B40" s="12" t="s">
        <v>36</v>
      </c>
      <c r="C40" s="12" t="s">
        <v>28</v>
      </c>
      <c r="D40" s="12" t="s">
        <v>24</v>
      </c>
      <c r="E40" s="13">
        <v>57951</v>
      </c>
      <c r="F40" s="14">
        <v>41600297.390000001</v>
      </c>
      <c r="G40" s="12">
        <v>2.72</v>
      </c>
      <c r="H40" s="12">
        <v>55.58</v>
      </c>
      <c r="I40" s="12">
        <v>17.57</v>
      </c>
      <c r="J40" s="12">
        <v>184.77</v>
      </c>
      <c r="K40" s="12">
        <v>67.900000000000006</v>
      </c>
      <c r="L40" s="15" t="s">
        <v>15</v>
      </c>
    </row>
    <row r="41" spans="1:12" x14ac:dyDescent="0.25">
      <c r="A41" s="16">
        <v>2019</v>
      </c>
      <c r="B41" s="17" t="s">
        <v>36</v>
      </c>
      <c r="C41" s="17" t="s">
        <v>29</v>
      </c>
      <c r="D41" s="17" t="s">
        <v>24</v>
      </c>
      <c r="E41" s="18">
        <v>25004</v>
      </c>
      <c r="F41" s="19">
        <v>28940719.489999998</v>
      </c>
      <c r="G41" s="17">
        <v>6.33</v>
      </c>
      <c r="H41" s="17">
        <v>45.56</v>
      </c>
      <c r="I41" s="17">
        <v>44.29</v>
      </c>
      <c r="J41" s="17">
        <v>124.19</v>
      </c>
      <c r="K41" s="17">
        <v>54.15</v>
      </c>
      <c r="L41" s="20" t="s">
        <v>27</v>
      </c>
    </row>
    <row r="42" spans="1:12" x14ac:dyDescent="0.25">
      <c r="A42" s="11">
        <v>2019</v>
      </c>
      <c r="B42" s="12" t="s">
        <v>36</v>
      </c>
      <c r="C42" s="12" t="s">
        <v>30</v>
      </c>
      <c r="D42" s="12" t="s">
        <v>24</v>
      </c>
      <c r="E42" s="13">
        <v>15756</v>
      </c>
      <c r="F42" s="14">
        <v>19796585.920000002</v>
      </c>
      <c r="G42" s="12">
        <v>3.58</v>
      </c>
      <c r="H42" s="12">
        <v>76.64</v>
      </c>
      <c r="I42" s="12">
        <v>36.22</v>
      </c>
      <c r="J42" s="12">
        <v>206.39</v>
      </c>
      <c r="K42" s="12">
        <v>88.16</v>
      </c>
      <c r="L42" s="15" t="s">
        <v>19</v>
      </c>
    </row>
    <row r="43" spans="1:12" x14ac:dyDescent="0.25">
      <c r="A43" s="16">
        <v>2019</v>
      </c>
      <c r="B43" s="17" t="s">
        <v>36</v>
      </c>
      <c r="C43" s="17" t="s">
        <v>31</v>
      </c>
      <c r="D43" s="17" t="s">
        <v>24</v>
      </c>
      <c r="E43" s="18">
        <v>56418</v>
      </c>
      <c r="F43" s="19">
        <v>53656997.799999997</v>
      </c>
      <c r="G43" s="17">
        <v>6.91</v>
      </c>
      <c r="H43" s="17">
        <v>54.03</v>
      </c>
      <c r="I43" s="17">
        <v>24.27</v>
      </c>
      <c r="J43" s="17">
        <v>61.49</v>
      </c>
      <c r="K43" s="17">
        <v>87.97</v>
      </c>
      <c r="L43" s="20" t="s">
        <v>19</v>
      </c>
    </row>
    <row r="44" spans="1:12" x14ac:dyDescent="0.25">
      <c r="A44" s="11">
        <v>2019</v>
      </c>
      <c r="B44" s="12" t="s">
        <v>36</v>
      </c>
      <c r="C44" s="12" t="s">
        <v>32</v>
      </c>
      <c r="D44" s="12" t="s">
        <v>24</v>
      </c>
      <c r="E44" s="13">
        <v>30819</v>
      </c>
      <c r="F44" s="14">
        <v>60274563.340000004</v>
      </c>
      <c r="G44" s="12">
        <v>3.44</v>
      </c>
      <c r="H44" s="12">
        <v>41.17</v>
      </c>
      <c r="I44" s="12">
        <v>26.42</v>
      </c>
      <c r="J44" s="12">
        <v>199.68</v>
      </c>
      <c r="K44" s="12">
        <v>61.6</v>
      </c>
      <c r="L44" s="15" t="s">
        <v>21</v>
      </c>
    </row>
    <row r="45" spans="1:12" x14ac:dyDescent="0.25">
      <c r="A45" s="16">
        <v>2019</v>
      </c>
      <c r="B45" s="17" t="s">
        <v>36</v>
      </c>
      <c r="C45" s="17" t="s">
        <v>33</v>
      </c>
      <c r="D45" s="17" t="s">
        <v>24</v>
      </c>
      <c r="E45" s="18">
        <v>18284</v>
      </c>
      <c r="F45" s="19">
        <v>26788292.559999999</v>
      </c>
      <c r="G45" s="17">
        <v>6.45</v>
      </c>
      <c r="H45" s="17">
        <v>80</v>
      </c>
      <c r="I45" s="17">
        <v>23.63</v>
      </c>
      <c r="J45" s="17">
        <v>137.72999999999999</v>
      </c>
      <c r="K45" s="17">
        <v>81.319999999999993</v>
      </c>
      <c r="L45" s="20" t="s">
        <v>17</v>
      </c>
    </row>
    <row r="46" spans="1:12" x14ac:dyDescent="0.25">
      <c r="A46" s="11">
        <v>2019</v>
      </c>
      <c r="B46" s="12" t="s">
        <v>36</v>
      </c>
      <c r="C46" s="12" t="s">
        <v>34</v>
      </c>
      <c r="D46" s="12" t="s">
        <v>24</v>
      </c>
      <c r="E46" s="13">
        <v>48617</v>
      </c>
      <c r="F46" s="14">
        <v>6134803.4639999997</v>
      </c>
      <c r="G46" s="12">
        <v>6.48</v>
      </c>
      <c r="H46" s="12">
        <v>91.79</v>
      </c>
      <c r="I46" s="12">
        <v>54.94</v>
      </c>
      <c r="J46" s="12">
        <v>88.28</v>
      </c>
      <c r="K46" s="12">
        <v>82.55</v>
      </c>
      <c r="L46" s="15" t="s">
        <v>17</v>
      </c>
    </row>
    <row r="47" spans="1:12" x14ac:dyDescent="0.25">
      <c r="A47" s="16">
        <v>2019</v>
      </c>
      <c r="B47" s="17" t="s">
        <v>37</v>
      </c>
      <c r="C47" s="17" t="s">
        <v>13</v>
      </c>
      <c r="D47" s="17" t="s">
        <v>14</v>
      </c>
      <c r="E47" s="18">
        <v>30040</v>
      </c>
      <c r="F47" s="19">
        <v>34166065.189999998</v>
      </c>
      <c r="G47" s="17">
        <v>1.5699999999999901</v>
      </c>
      <c r="H47" s="17">
        <v>28.49</v>
      </c>
      <c r="I47" s="17">
        <v>47.01</v>
      </c>
      <c r="J47" s="17">
        <v>243.47</v>
      </c>
      <c r="K47" s="17">
        <v>58.24</v>
      </c>
      <c r="L47" s="20" t="s">
        <v>21</v>
      </c>
    </row>
    <row r="48" spans="1:12" x14ac:dyDescent="0.25">
      <c r="A48" s="11">
        <v>2019</v>
      </c>
      <c r="B48" s="12" t="s">
        <v>37</v>
      </c>
      <c r="C48" s="12" t="s">
        <v>16</v>
      </c>
      <c r="D48" s="12" t="s">
        <v>14</v>
      </c>
      <c r="E48" s="13">
        <v>40978</v>
      </c>
      <c r="F48" s="14">
        <v>52202051.460000001</v>
      </c>
      <c r="G48" s="12">
        <v>0.34</v>
      </c>
      <c r="H48" s="12">
        <v>39.979999999999997</v>
      </c>
      <c r="I48" s="12">
        <v>44.96</v>
      </c>
      <c r="J48" s="12">
        <v>130.25</v>
      </c>
      <c r="K48" s="12">
        <v>45.44</v>
      </c>
      <c r="L48" s="15" t="s">
        <v>27</v>
      </c>
    </row>
    <row r="49" spans="1:12" x14ac:dyDescent="0.25">
      <c r="A49" s="16">
        <v>2019</v>
      </c>
      <c r="B49" s="17" t="s">
        <v>37</v>
      </c>
      <c r="C49" s="17" t="s">
        <v>18</v>
      </c>
      <c r="D49" s="17" t="s">
        <v>14</v>
      </c>
      <c r="E49" s="18">
        <v>46113</v>
      </c>
      <c r="F49" s="19">
        <v>23485210.48</v>
      </c>
      <c r="G49" s="17">
        <v>1.89</v>
      </c>
      <c r="H49" s="17">
        <v>69.900000000000006</v>
      </c>
      <c r="I49" s="17">
        <v>13.34</v>
      </c>
      <c r="J49" s="17">
        <v>167.31</v>
      </c>
      <c r="K49" s="17">
        <v>45.48</v>
      </c>
      <c r="L49" s="20" t="s">
        <v>27</v>
      </c>
    </row>
    <row r="50" spans="1:12" x14ac:dyDescent="0.25">
      <c r="A50" s="11">
        <v>2019</v>
      </c>
      <c r="B50" s="12" t="s">
        <v>37</v>
      </c>
      <c r="C50" s="12" t="s">
        <v>20</v>
      </c>
      <c r="D50" s="12" t="s">
        <v>14</v>
      </c>
      <c r="E50" s="13">
        <v>8438</v>
      </c>
      <c r="F50" s="14">
        <v>35324703.520000003</v>
      </c>
      <c r="G50" s="12">
        <v>2.29</v>
      </c>
      <c r="H50" s="12">
        <v>80.900000000000006</v>
      </c>
      <c r="I50" s="12">
        <v>10.53</v>
      </c>
      <c r="J50" s="12">
        <v>80.150000000000006</v>
      </c>
      <c r="K50" s="12">
        <v>75.72</v>
      </c>
      <c r="L50" s="15" t="s">
        <v>19</v>
      </c>
    </row>
    <row r="51" spans="1:12" x14ac:dyDescent="0.25">
      <c r="A51" s="16">
        <v>2019</v>
      </c>
      <c r="B51" s="17" t="s">
        <v>37</v>
      </c>
      <c r="C51" s="17" t="s">
        <v>22</v>
      </c>
      <c r="D51" s="17" t="s">
        <v>14</v>
      </c>
      <c r="E51" s="18">
        <v>23500</v>
      </c>
      <c r="F51" s="19">
        <v>33337345.93</v>
      </c>
      <c r="G51" s="17">
        <v>3.74</v>
      </c>
      <c r="H51" s="17">
        <v>33.06</v>
      </c>
      <c r="I51" s="17">
        <v>18.7</v>
      </c>
      <c r="J51" s="17">
        <v>73.31</v>
      </c>
      <c r="K51" s="17">
        <v>70.739999999999995</v>
      </c>
      <c r="L51" s="20" t="s">
        <v>27</v>
      </c>
    </row>
    <row r="52" spans="1:12" x14ac:dyDescent="0.25">
      <c r="A52" s="11">
        <v>2019</v>
      </c>
      <c r="B52" s="12" t="s">
        <v>37</v>
      </c>
      <c r="C52" s="12" t="s">
        <v>23</v>
      </c>
      <c r="D52" s="12" t="s">
        <v>24</v>
      </c>
      <c r="E52" s="13">
        <v>40164</v>
      </c>
      <c r="F52" s="14">
        <v>21739755.84</v>
      </c>
      <c r="G52" s="12">
        <v>3.76</v>
      </c>
      <c r="H52" s="12">
        <v>50.13</v>
      </c>
      <c r="I52" s="12">
        <v>13.99</v>
      </c>
      <c r="J52" s="12">
        <v>210.05</v>
      </c>
      <c r="K52" s="12">
        <v>58.83</v>
      </c>
      <c r="L52" s="15" t="s">
        <v>17</v>
      </c>
    </row>
    <row r="53" spans="1:12" x14ac:dyDescent="0.25">
      <c r="A53" s="16">
        <v>2019</v>
      </c>
      <c r="B53" s="17" t="s">
        <v>37</v>
      </c>
      <c r="C53" s="17" t="s">
        <v>25</v>
      </c>
      <c r="D53" s="17" t="s">
        <v>24</v>
      </c>
      <c r="E53" s="18">
        <v>53367</v>
      </c>
      <c r="F53" s="19">
        <v>69827344.420000002</v>
      </c>
      <c r="G53" s="17">
        <v>6.1</v>
      </c>
      <c r="H53" s="17">
        <v>95.93</v>
      </c>
      <c r="I53" s="17">
        <v>47.57</v>
      </c>
      <c r="J53" s="17">
        <v>185.7</v>
      </c>
      <c r="K53" s="17">
        <v>93.45</v>
      </c>
      <c r="L53" s="20" t="s">
        <v>21</v>
      </c>
    </row>
    <row r="54" spans="1:12" x14ac:dyDescent="0.25">
      <c r="A54" s="11">
        <v>2019</v>
      </c>
      <c r="B54" s="12" t="s">
        <v>37</v>
      </c>
      <c r="C54" s="12" t="s">
        <v>26</v>
      </c>
      <c r="D54" s="12" t="s">
        <v>24</v>
      </c>
      <c r="E54" s="13">
        <v>37612</v>
      </c>
      <c r="F54" s="14">
        <v>34802846.640000001</v>
      </c>
      <c r="G54" s="12">
        <v>2.5299999999999998</v>
      </c>
      <c r="H54" s="12">
        <v>66.459999999999994</v>
      </c>
      <c r="I54" s="12">
        <v>24.02</v>
      </c>
      <c r="J54" s="12">
        <v>120.07</v>
      </c>
      <c r="K54" s="12">
        <v>87.24</v>
      </c>
      <c r="L54" s="15" t="s">
        <v>19</v>
      </c>
    </row>
    <row r="55" spans="1:12" x14ac:dyDescent="0.25">
      <c r="A55" s="16">
        <v>2019</v>
      </c>
      <c r="B55" s="17" t="s">
        <v>37</v>
      </c>
      <c r="C55" s="17" t="s">
        <v>28</v>
      </c>
      <c r="D55" s="17" t="s">
        <v>24</v>
      </c>
      <c r="E55" s="18">
        <v>31445</v>
      </c>
      <c r="F55" s="19">
        <v>62662104.5</v>
      </c>
      <c r="G55" s="17">
        <v>4.8599999999999897</v>
      </c>
      <c r="H55" s="17">
        <v>61.44</v>
      </c>
      <c r="I55" s="17">
        <v>27.46</v>
      </c>
      <c r="J55" s="17">
        <v>183.03</v>
      </c>
      <c r="K55" s="17">
        <v>72.209999999999994</v>
      </c>
      <c r="L55" s="20" t="s">
        <v>15</v>
      </c>
    </row>
    <row r="56" spans="1:12" x14ac:dyDescent="0.25">
      <c r="A56" s="11">
        <v>2019</v>
      </c>
      <c r="B56" s="12" t="s">
        <v>37</v>
      </c>
      <c r="C56" s="12" t="s">
        <v>29</v>
      </c>
      <c r="D56" s="12" t="s">
        <v>24</v>
      </c>
      <c r="E56" s="13">
        <v>34541</v>
      </c>
      <c r="F56" s="14">
        <v>23308775.82</v>
      </c>
      <c r="G56" s="12">
        <v>4.0299999999999896</v>
      </c>
      <c r="H56" s="12">
        <v>59.35</v>
      </c>
      <c r="I56" s="12">
        <v>8.3699999999999992</v>
      </c>
      <c r="J56" s="12">
        <v>138.66999999999999</v>
      </c>
      <c r="K56" s="12">
        <v>80.349999999999994</v>
      </c>
      <c r="L56" s="15" t="s">
        <v>17</v>
      </c>
    </row>
    <row r="57" spans="1:12" x14ac:dyDescent="0.25">
      <c r="A57" s="16">
        <v>2019</v>
      </c>
      <c r="B57" s="17" t="s">
        <v>37</v>
      </c>
      <c r="C57" s="17" t="s">
        <v>30</v>
      </c>
      <c r="D57" s="17" t="s">
        <v>24</v>
      </c>
      <c r="E57" s="18">
        <v>6719</v>
      </c>
      <c r="F57" s="19">
        <v>38311286.359999999</v>
      </c>
      <c r="G57" s="17">
        <v>5.38</v>
      </c>
      <c r="H57" s="17">
        <v>42.55</v>
      </c>
      <c r="I57" s="17">
        <v>50.32</v>
      </c>
      <c r="J57" s="17">
        <v>110.97</v>
      </c>
      <c r="K57" s="17">
        <v>87.8</v>
      </c>
      <c r="L57" s="20" t="s">
        <v>15</v>
      </c>
    </row>
    <row r="58" spans="1:12" x14ac:dyDescent="0.25">
      <c r="A58" s="11">
        <v>2019</v>
      </c>
      <c r="B58" s="12" t="s">
        <v>37</v>
      </c>
      <c r="C58" s="12" t="s">
        <v>31</v>
      </c>
      <c r="D58" s="12" t="s">
        <v>24</v>
      </c>
      <c r="E58" s="13">
        <v>32919</v>
      </c>
      <c r="F58" s="14">
        <v>38143238.390000001</v>
      </c>
      <c r="G58" s="12">
        <v>6.62</v>
      </c>
      <c r="H58" s="12">
        <v>79.48</v>
      </c>
      <c r="I58" s="12">
        <v>45.85</v>
      </c>
      <c r="J58" s="12">
        <v>295.62</v>
      </c>
      <c r="K58" s="12">
        <v>58.71</v>
      </c>
      <c r="L58" s="15" t="s">
        <v>21</v>
      </c>
    </row>
    <row r="59" spans="1:12" x14ac:dyDescent="0.25">
      <c r="A59" s="16">
        <v>2019</v>
      </c>
      <c r="B59" s="17" t="s">
        <v>37</v>
      </c>
      <c r="C59" s="17" t="s">
        <v>32</v>
      </c>
      <c r="D59" s="17" t="s">
        <v>24</v>
      </c>
      <c r="E59" s="18">
        <v>46371</v>
      </c>
      <c r="F59" s="19">
        <v>71988709.969999999</v>
      </c>
      <c r="G59" s="17">
        <v>3.21</v>
      </c>
      <c r="H59" s="17">
        <v>88.89</v>
      </c>
      <c r="I59" s="17">
        <v>48.87</v>
      </c>
      <c r="J59" s="17">
        <v>265.70999999999998</v>
      </c>
      <c r="K59" s="17">
        <v>90.81</v>
      </c>
      <c r="L59" s="20" t="s">
        <v>27</v>
      </c>
    </row>
    <row r="60" spans="1:12" x14ac:dyDescent="0.25">
      <c r="A60" s="11">
        <v>2019</v>
      </c>
      <c r="B60" s="12" t="s">
        <v>37</v>
      </c>
      <c r="C60" s="12" t="s">
        <v>33</v>
      </c>
      <c r="D60" s="12" t="s">
        <v>24</v>
      </c>
      <c r="E60" s="13">
        <v>40084</v>
      </c>
      <c r="F60" s="14">
        <v>17163852.827999901</v>
      </c>
      <c r="G60" s="12">
        <v>6.33</v>
      </c>
      <c r="H60" s="12">
        <v>42.8</v>
      </c>
      <c r="I60" s="12">
        <v>48.55</v>
      </c>
      <c r="J60" s="12">
        <v>156.88</v>
      </c>
      <c r="K60" s="12">
        <v>53.55</v>
      </c>
      <c r="L60" s="15" t="s">
        <v>15</v>
      </c>
    </row>
    <row r="61" spans="1:12" x14ac:dyDescent="0.25">
      <c r="A61" s="16">
        <v>2019</v>
      </c>
      <c r="B61" s="17" t="s">
        <v>37</v>
      </c>
      <c r="C61" s="17" t="s">
        <v>34</v>
      </c>
      <c r="D61" s="17" t="s">
        <v>24</v>
      </c>
      <c r="E61" s="18">
        <v>20192</v>
      </c>
      <c r="F61" s="19">
        <v>14639182.699999999</v>
      </c>
      <c r="G61" s="17">
        <v>4.6099999999999897</v>
      </c>
      <c r="H61" s="17">
        <v>48.26</v>
      </c>
      <c r="I61" s="17">
        <v>50.86</v>
      </c>
      <c r="J61" s="17">
        <v>195.2</v>
      </c>
      <c r="K61" s="17">
        <v>60.91</v>
      </c>
      <c r="L61" s="20" t="s">
        <v>17</v>
      </c>
    </row>
    <row r="62" spans="1:12" x14ac:dyDescent="0.25">
      <c r="A62" s="11">
        <v>2019</v>
      </c>
      <c r="B62" s="12" t="s">
        <v>12</v>
      </c>
      <c r="C62" s="12" t="s">
        <v>13</v>
      </c>
      <c r="D62" s="12" t="s">
        <v>14</v>
      </c>
      <c r="E62" s="13">
        <v>26396</v>
      </c>
      <c r="F62" s="14">
        <v>4212951.0480000004</v>
      </c>
      <c r="G62" s="12">
        <v>1.04</v>
      </c>
      <c r="H62" s="12">
        <v>57.36</v>
      </c>
      <c r="I62" s="12">
        <v>39.549999999999997</v>
      </c>
      <c r="J62" s="12">
        <v>293.10000000000002</v>
      </c>
      <c r="K62" s="12">
        <v>55.87</v>
      </c>
      <c r="L62" s="15" t="s">
        <v>15</v>
      </c>
    </row>
    <row r="63" spans="1:12" x14ac:dyDescent="0.25">
      <c r="A63" s="16">
        <v>2019</v>
      </c>
      <c r="B63" s="17" t="s">
        <v>12</v>
      </c>
      <c r="C63" s="17" t="s">
        <v>16</v>
      </c>
      <c r="D63" s="17" t="s">
        <v>14</v>
      </c>
      <c r="E63" s="18">
        <v>25671</v>
      </c>
      <c r="F63" s="19">
        <v>7240265.60399999</v>
      </c>
      <c r="G63" s="17">
        <v>2.82</v>
      </c>
      <c r="H63" s="17">
        <v>85.8</v>
      </c>
      <c r="I63" s="17">
        <v>42.58</v>
      </c>
      <c r="J63" s="17">
        <v>67.459999999999994</v>
      </c>
      <c r="K63" s="17">
        <v>37.26</v>
      </c>
      <c r="L63" s="20" t="s">
        <v>17</v>
      </c>
    </row>
    <row r="64" spans="1:12" x14ac:dyDescent="0.25">
      <c r="A64" s="11">
        <v>2019</v>
      </c>
      <c r="B64" s="12" t="s">
        <v>12</v>
      </c>
      <c r="C64" s="12" t="s">
        <v>18</v>
      </c>
      <c r="D64" s="12" t="s">
        <v>14</v>
      </c>
      <c r="E64" s="13">
        <v>16573</v>
      </c>
      <c r="F64" s="14">
        <v>25608331.510000002</v>
      </c>
      <c r="G64" s="12">
        <v>-0.03</v>
      </c>
      <c r="H64" s="12">
        <v>47.02</v>
      </c>
      <c r="I64" s="12">
        <v>3.78</v>
      </c>
      <c r="J64" s="12">
        <v>77.25</v>
      </c>
      <c r="K64" s="12">
        <v>84.66</v>
      </c>
      <c r="L64" s="15" t="s">
        <v>19</v>
      </c>
    </row>
    <row r="65" spans="1:12" x14ac:dyDescent="0.25">
      <c r="A65" s="16">
        <v>2019</v>
      </c>
      <c r="B65" s="17" t="s">
        <v>12</v>
      </c>
      <c r="C65" s="17" t="s">
        <v>20</v>
      </c>
      <c r="D65" s="17" t="s">
        <v>14</v>
      </c>
      <c r="E65" s="18">
        <v>7177</v>
      </c>
      <c r="F65" s="19">
        <v>21984415.829999998</v>
      </c>
      <c r="G65" s="17">
        <v>0.84</v>
      </c>
      <c r="H65" s="17">
        <v>25.7</v>
      </c>
      <c r="I65" s="17">
        <v>23.41</v>
      </c>
      <c r="J65" s="17">
        <v>105.27</v>
      </c>
      <c r="K65" s="17">
        <v>40.03</v>
      </c>
      <c r="L65" s="20" t="s">
        <v>21</v>
      </c>
    </row>
    <row r="66" spans="1:12" x14ac:dyDescent="0.25">
      <c r="A66" s="11">
        <v>2019</v>
      </c>
      <c r="B66" s="12" t="s">
        <v>12</v>
      </c>
      <c r="C66" s="12" t="s">
        <v>22</v>
      </c>
      <c r="D66" s="12" t="s">
        <v>14</v>
      </c>
      <c r="E66" s="13">
        <v>45633</v>
      </c>
      <c r="F66" s="14">
        <v>16342437.5</v>
      </c>
      <c r="G66" s="12">
        <v>2.36</v>
      </c>
      <c r="H66" s="12">
        <v>89.13</v>
      </c>
      <c r="I66" s="12">
        <v>44.43</v>
      </c>
      <c r="J66" s="12">
        <v>206.17</v>
      </c>
      <c r="K66" s="12">
        <v>76.88</v>
      </c>
      <c r="L66" s="15" t="s">
        <v>17</v>
      </c>
    </row>
    <row r="67" spans="1:12" x14ac:dyDescent="0.25">
      <c r="A67" s="16">
        <v>2019</v>
      </c>
      <c r="B67" s="17" t="s">
        <v>12</v>
      </c>
      <c r="C67" s="17" t="s">
        <v>23</v>
      </c>
      <c r="D67" s="17" t="s">
        <v>24</v>
      </c>
      <c r="E67" s="18">
        <v>15912</v>
      </c>
      <c r="F67" s="19">
        <v>17178326.899999999</v>
      </c>
      <c r="G67" s="17">
        <v>5.41</v>
      </c>
      <c r="H67" s="17">
        <v>59.12</v>
      </c>
      <c r="I67" s="17">
        <v>12.14</v>
      </c>
      <c r="J67" s="17">
        <v>179.15</v>
      </c>
      <c r="K67" s="17">
        <v>80.790000000000006</v>
      </c>
      <c r="L67" s="20" t="s">
        <v>19</v>
      </c>
    </row>
    <row r="68" spans="1:12" x14ac:dyDescent="0.25">
      <c r="A68" s="11">
        <v>2019</v>
      </c>
      <c r="B68" s="12" t="s">
        <v>12</v>
      </c>
      <c r="C68" s="12" t="s">
        <v>25</v>
      </c>
      <c r="D68" s="12" t="s">
        <v>24</v>
      </c>
      <c r="E68" s="13">
        <v>7231</v>
      </c>
      <c r="F68" s="14">
        <v>48639810.189999998</v>
      </c>
      <c r="G68" s="12">
        <v>5.9</v>
      </c>
      <c r="H68" s="12">
        <v>52.94</v>
      </c>
      <c r="I68" s="12">
        <v>44.36</v>
      </c>
      <c r="J68" s="12">
        <v>259.16000000000003</v>
      </c>
      <c r="K68" s="12">
        <v>77.55</v>
      </c>
      <c r="L68" s="15" t="s">
        <v>17</v>
      </c>
    </row>
    <row r="69" spans="1:12" x14ac:dyDescent="0.25">
      <c r="A69" s="16">
        <v>2019</v>
      </c>
      <c r="B69" s="17" t="s">
        <v>12</v>
      </c>
      <c r="C69" s="17" t="s">
        <v>26</v>
      </c>
      <c r="D69" s="17" t="s">
        <v>24</v>
      </c>
      <c r="E69" s="18">
        <v>58711</v>
      </c>
      <c r="F69" s="19">
        <v>70175779.069999993</v>
      </c>
      <c r="G69" s="17">
        <v>4.92</v>
      </c>
      <c r="H69" s="17">
        <v>79.95</v>
      </c>
      <c r="I69" s="17">
        <v>49.7</v>
      </c>
      <c r="J69" s="17">
        <v>191.42</v>
      </c>
      <c r="K69" s="17">
        <v>74.83</v>
      </c>
      <c r="L69" s="20" t="s">
        <v>27</v>
      </c>
    </row>
    <row r="70" spans="1:12" x14ac:dyDescent="0.25">
      <c r="A70" s="11">
        <v>2019</v>
      </c>
      <c r="B70" s="12" t="s">
        <v>12</v>
      </c>
      <c r="C70" s="12" t="s">
        <v>28</v>
      </c>
      <c r="D70" s="12" t="s">
        <v>24</v>
      </c>
      <c r="E70" s="13">
        <v>40641</v>
      </c>
      <c r="F70" s="14">
        <v>51959555.759999998</v>
      </c>
      <c r="G70" s="12">
        <v>2.64</v>
      </c>
      <c r="H70" s="12">
        <v>44.77</v>
      </c>
      <c r="I70" s="12">
        <v>31.27</v>
      </c>
      <c r="J70" s="12">
        <v>151.18</v>
      </c>
      <c r="K70" s="12">
        <v>66.509999999999906</v>
      </c>
      <c r="L70" s="15" t="s">
        <v>21</v>
      </c>
    </row>
    <row r="71" spans="1:12" x14ac:dyDescent="0.25">
      <c r="A71" s="16">
        <v>2019</v>
      </c>
      <c r="B71" s="17" t="s">
        <v>12</v>
      </c>
      <c r="C71" s="17" t="s">
        <v>29</v>
      </c>
      <c r="D71" s="17" t="s">
        <v>24</v>
      </c>
      <c r="E71" s="18">
        <v>38119</v>
      </c>
      <c r="F71" s="19">
        <v>49899540.799999997</v>
      </c>
      <c r="G71" s="17">
        <v>6.84</v>
      </c>
      <c r="H71" s="17">
        <v>51.21</v>
      </c>
      <c r="I71" s="17">
        <v>38.33</v>
      </c>
      <c r="J71" s="17">
        <v>284.33</v>
      </c>
      <c r="K71" s="17">
        <v>87.01</v>
      </c>
      <c r="L71" s="20" t="s">
        <v>17</v>
      </c>
    </row>
    <row r="72" spans="1:12" x14ac:dyDescent="0.25">
      <c r="A72" s="11">
        <v>2019</v>
      </c>
      <c r="B72" s="12" t="s">
        <v>12</v>
      </c>
      <c r="C72" s="12" t="s">
        <v>30</v>
      </c>
      <c r="D72" s="12" t="s">
        <v>24</v>
      </c>
      <c r="E72" s="13">
        <v>36255</v>
      </c>
      <c r="F72" s="14">
        <v>12091673.939999999</v>
      </c>
      <c r="G72" s="12">
        <v>4.66</v>
      </c>
      <c r="H72" s="12">
        <v>56.5</v>
      </c>
      <c r="I72" s="12">
        <v>9.77</v>
      </c>
      <c r="J72" s="12">
        <v>81.430000000000007</v>
      </c>
      <c r="K72" s="12">
        <v>85.88</v>
      </c>
      <c r="L72" s="15" t="s">
        <v>19</v>
      </c>
    </row>
    <row r="73" spans="1:12" x14ac:dyDescent="0.25">
      <c r="A73" s="16">
        <v>2019</v>
      </c>
      <c r="B73" s="17" t="s">
        <v>12</v>
      </c>
      <c r="C73" s="17" t="s">
        <v>31</v>
      </c>
      <c r="D73" s="17" t="s">
        <v>24</v>
      </c>
      <c r="E73" s="18">
        <v>19643</v>
      </c>
      <c r="F73" s="19">
        <v>36029498.520000003</v>
      </c>
      <c r="G73" s="17">
        <v>5.67</v>
      </c>
      <c r="H73" s="17">
        <v>76.62</v>
      </c>
      <c r="I73" s="17">
        <v>22.84</v>
      </c>
      <c r="J73" s="17">
        <v>220.82</v>
      </c>
      <c r="K73" s="17">
        <v>88.16</v>
      </c>
      <c r="L73" s="20" t="s">
        <v>15</v>
      </c>
    </row>
    <row r="74" spans="1:12" x14ac:dyDescent="0.25">
      <c r="A74" s="11">
        <v>2019</v>
      </c>
      <c r="B74" s="12" t="s">
        <v>12</v>
      </c>
      <c r="C74" s="12" t="s">
        <v>32</v>
      </c>
      <c r="D74" s="12" t="s">
        <v>24</v>
      </c>
      <c r="E74" s="13">
        <v>12612</v>
      </c>
      <c r="F74" s="14">
        <v>57161551.82</v>
      </c>
      <c r="G74" s="12">
        <v>3.24</v>
      </c>
      <c r="H74" s="12">
        <v>64.479999999999905</v>
      </c>
      <c r="I74" s="12">
        <v>14.98</v>
      </c>
      <c r="J74" s="12">
        <v>161.49</v>
      </c>
      <c r="K74" s="12">
        <v>85.67</v>
      </c>
      <c r="L74" s="15" t="s">
        <v>19</v>
      </c>
    </row>
    <row r="75" spans="1:12" x14ac:dyDescent="0.25">
      <c r="A75" s="16">
        <v>2019</v>
      </c>
      <c r="B75" s="17" t="s">
        <v>12</v>
      </c>
      <c r="C75" s="17" t="s">
        <v>33</v>
      </c>
      <c r="D75" s="17" t="s">
        <v>24</v>
      </c>
      <c r="E75" s="18">
        <v>22722</v>
      </c>
      <c r="F75" s="19">
        <v>45310946.807999998</v>
      </c>
      <c r="G75" s="17">
        <v>2.88</v>
      </c>
      <c r="H75" s="17">
        <v>87.12</v>
      </c>
      <c r="I75" s="17">
        <v>19.04</v>
      </c>
      <c r="J75" s="17">
        <v>233.87</v>
      </c>
      <c r="K75" s="17">
        <v>45.66</v>
      </c>
      <c r="L75" s="20" t="s">
        <v>27</v>
      </c>
    </row>
    <row r="76" spans="1:12" x14ac:dyDescent="0.25">
      <c r="A76" s="11">
        <v>2019</v>
      </c>
      <c r="B76" s="12" t="s">
        <v>12</v>
      </c>
      <c r="C76" s="12" t="s">
        <v>34</v>
      </c>
      <c r="D76" s="12" t="s">
        <v>24</v>
      </c>
      <c r="E76" s="13">
        <v>8453</v>
      </c>
      <c r="F76" s="14">
        <v>46937282.289999999</v>
      </c>
      <c r="G76" s="12">
        <v>3.48</v>
      </c>
      <c r="H76" s="12">
        <v>72.729999999999905</v>
      </c>
      <c r="I76" s="12">
        <v>23.32</v>
      </c>
      <c r="J76" s="12">
        <v>130.87</v>
      </c>
      <c r="K76" s="12">
        <v>53.81</v>
      </c>
      <c r="L76" s="15" t="s">
        <v>17</v>
      </c>
    </row>
    <row r="77" spans="1:12" x14ac:dyDescent="0.25">
      <c r="A77" s="16">
        <v>2019</v>
      </c>
      <c r="B77" s="17" t="s">
        <v>35</v>
      </c>
      <c r="C77" s="17" t="s">
        <v>13</v>
      </c>
      <c r="D77" s="17" t="s">
        <v>14</v>
      </c>
      <c r="E77" s="18">
        <v>19160</v>
      </c>
      <c r="F77" s="19">
        <v>6660064.7999999998</v>
      </c>
      <c r="G77" s="17">
        <v>1.56</v>
      </c>
      <c r="H77" s="17">
        <v>67.69</v>
      </c>
      <c r="I77" s="17">
        <v>14.6</v>
      </c>
      <c r="J77" s="17">
        <v>156.93</v>
      </c>
      <c r="K77" s="17">
        <v>64.040000000000006</v>
      </c>
      <c r="L77" s="20" t="s">
        <v>19</v>
      </c>
    </row>
    <row r="78" spans="1:12" x14ac:dyDescent="0.25">
      <c r="A78" s="11">
        <v>2019</v>
      </c>
      <c r="B78" s="12" t="s">
        <v>35</v>
      </c>
      <c r="C78" s="12" t="s">
        <v>16</v>
      </c>
      <c r="D78" s="12" t="s">
        <v>14</v>
      </c>
      <c r="E78" s="13">
        <v>38253</v>
      </c>
      <c r="F78" s="14">
        <v>53195937.002999999</v>
      </c>
      <c r="G78" s="12">
        <v>-0.05</v>
      </c>
      <c r="H78" s="12">
        <v>76.73</v>
      </c>
      <c r="I78" s="12">
        <v>31.96</v>
      </c>
      <c r="J78" s="12">
        <v>273.85000000000002</v>
      </c>
      <c r="K78" s="12">
        <v>38.28</v>
      </c>
      <c r="L78" s="15" t="s">
        <v>19</v>
      </c>
    </row>
    <row r="79" spans="1:12" x14ac:dyDescent="0.25">
      <c r="A79" s="16">
        <v>2019</v>
      </c>
      <c r="B79" s="17" t="s">
        <v>35</v>
      </c>
      <c r="C79" s="17" t="s">
        <v>18</v>
      </c>
      <c r="D79" s="17" t="s">
        <v>14</v>
      </c>
      <c r="E79" s="18">
        <v>17404</v>
      </c>
      <c r="F79" s="19">
        <v>14950208.85</v>
      </c>
      <c r="G79" s="17">
        <v>2.5099999999999998</v>
      </c>
      <c r="H79" s="17">
        <v>38.86</v>
      </c>
      <c r="I79" s="17">
        <v>36.380000000000003</v>
      </c>
      <c r="J79" s="17">
        <v>105.21</v>
      </c>
      <c r="K79" s="17">
        <v>67.78</v>
      </c>
      <c r="L79" s="20" t="s">
        <v>19</v>
      </c>
    </row>
    <row r="80" spans="1:12" x14ac:dyDescent="0.25">
      <c r="A80" s="11">
        <v>2019</v>
      </c>
      <c r="B80" s="12" t="s">
        <v>35</v>
      </c>
      <c r="C80" s="12" t="s">
        <v>20</v>
      </c>
      <c r="D80" s="12" t="s">
        <v>14</v>
      </c>
      <c r="E80" s="13">
        <v>27841</v>
      </c>
      <c r="F80" s="14">
        <v>9787426.5150000006</v>
      </c>
      <c r="G80" s="12">
        <v>3.96</v>
      </c>
      <c r="H80" s="12">
        <v>75.22</v>
      </c>
      <c r="I80" s="12">
        <v>46.41</v>
      </c>
      <c r="J80" s="12">
        <v>283.25</v>
      </c>
      <c r="K80" s="12">
        <v>44.96</v>
      </c>
      <c r="L80" s="15" t="s">
        <v>19</v>
      </c>
    </row>
    <row r="81" spans="1:12" x14ac:dyDescent="0.25">
      <c r="A81" s="16">
        <v>2019</v>
      </c>
      <c r="B81" s="17" t="s">
        <v>35</v>
      </c>
      <c r="C81" s="17" t="s">
        <v>22</v>
      </c>
      <c r="D81" s="17" t="s">
        <v>14</v>
      </c>
      <c r="E81" s="18">
        <v>10047</v>
      </c>
      <c r="F81" s="19">
        <v>10691516.9</v>
      </c>
      <c r="G81" s="17">
        <v>1.56</v>
      </c>
      <c r="H81" s="17">
        <v>45.75</v>
      </c>
      <c r="I81" s="17">
        <v>15.36</v>
      </c>
      <c r="J81" s="17">
        <v>112.81</v>
      </c>
      <c r="K81" s="17">
        <v>85.33</v>
      </c>
      <c r="L81" s="20" t="s">
        <v>19</v>
      </c>
    </row>
    <row r="82" spans="1:12" x14ac:dyDescent="0.25">
      <c r="A82" s="11">
        <v>2019</v>
      </c>
      <c r="B82" s="12" t="s">
        <v>35</v>
      </c>
      <c r="C82" s="12" t="s">
        <v>23</v>
      </c>
      <c r="D82" s="12" t="s">
        <v>24</v>
      </c>
      <c r="E82" s="13">
        <v>25054</v>
      </c>
      <c r="F82" s="14">
        <v>40495943.740000002</v>
      </c>
      <c r="G82" s="12">
        <v>4.6399999999999997</v>
      </c>
      <c r="H82" s="12">
        <v>67.39</v>
      </c>
      <c r="I82" s="12">
        <v>21.03</v>
      </c>
      <c r="J82" s="12">
        <v>212.78</v>
      </c>
      <c r="K82" s="12">
        <v>63.69</v>
      </c>
      <c r="L82" s="15" t="s">
        <v>27</v>
      </c>
    </row>
    <row r="83" spans="1:12" x14ac:dyDescent="0.25">
      <c r="A83" s="16">
        <v>2019</v>
      </c>
      <c r="B83" s="17" t="s">
        <v>35</v>
      </c>
      <c r="C83" s="17" t="s">
        <v>25</v>
      </c>
      <c r="D83" s="17" t="s">
        <v>24</v>
      </c>
      <c r="E83" s="18">
        <v>37263</v>
      </c>
      <c r="F83" s="19">
        <v>29763310.309999999</v>
      </c>
      <c r="G83" s="17">
        <v>2.76</v>
      </c>
      <c r="H83" s="17">
        <v>55.56</v>
      </c>
      <c r="I83" s="17">
        <v>16.03</v>
      </c>
      <c r="J83" s="17">
        <v>263.32</v>
      </c>
      <c r="K83" s="17">
        <v>64.63</v>
      </c>
      <c r="L83" s="20" t="s">
        <v>15</v>
      </c>
    </row>
    <row r="84" spans="1:12" x14ac:dyDescent="0.25">
      <c r="A84" s="11">
        <v>2019</v>
      </c>
      <c r="B84" s="12" t="s">
        <v>35</v>
      </c>
      <c r="C84" s="12" t="s">
        <v>26</v>
      </c>
      <c r="D84" s="12" t="s">
        <v>24</v>
      </c>
      <c r="E84" s="13">
        <v>39191</v>
      </c>
      <c r="F84" s="14">
        <v>19631909.34</v>
      </c>
      <c r="G84" s="12">
        <v>3.35</v>
      </c>
      <c r="H84" s="12">
        <v>100.83</v>
      </c>
      <c r="I84" s="12">
        <v>49.18</v>
      </c>
      <c r="J84" s="12">
        <v>59.84</v>
      </c>
      <c r="K84" s="12">
        <v>53.2</v>
      </c>
      <c r="L84" s="15" t="s">
        <v>21</v>
      </c>
    </row>
    <row r="85" spans="1:12" x14ac:dyDescent="0.25">
      <c r="A85" s="16">
        <v>2019</v>
      </c>
      <c r="B85" s="17" t="s">
        <v>35</v>
      </c>
      <c r="C85" s="17" t="s">
        <v>28</v>
      </c>
      <c r="D85" s="17" t="s">
        <v>24</v>
      </c>
      <c r="E85" s="18">
        <v>11320</v>
      </c>
      <c r="F85" s="19">
        <v>36678245.920000002</v>
      </c>
      <c r="G85" s="17">
        <v>5.99</v>
      </c>
      <c r="H85" s="17">
        <v>50.12</v>
      </c>
      <c r="I85" s="17">
        <v>43.18</v>
      </c>
      <c r="J85" s="17">
        <v>251.51</v>
      </c>
      <c r="K85" s="17">
        <v>88.81</v>
      </c>
      <c r="L85" s="20" t="s">
        <v>21</v>
      </c>
    </row>
    <row r="86" spans="1:12" x14ac:dyDescent="0.25">
      <c r="A86" s="11">
        <v>2019</v>
      </c>
      <c r="B86" s="12" t="s">
        <v>35</v>
      </c>
      <c r="C86" s="12" t="s">
        <v>29</v>
      </c>
      <c r="D86" s="12" t="s">
        <v>24</v>
      </c>
      <c r="E86" s="13">
        <v>31105</v>
      </c>
      <c r="F86" s="14">
        <v>12818738.02</v>
      </c>
      <c r="G86" s="12">
        <v>4.7699999999999996</v>
      </c>
      <c r="H86" s="12">
        <v>93.04</v>
      </c>
      <c r="I86" s="12">
        <v>20.52</v>
      </c>
      <c r="J86" s="12">
        <v>110.55</v>
      </c>
      <c r="K86" s="12">
        <v>73.069999999999993</v>
      </c>
      <c r="L86" s="15" t="s">
        <v>21</v>
      </c>
    </row>
    <row r="87" spans="1:12" x14ac:dyDescent="0.25">
      <c r="A87" s="16">
        <v>2019</v>
      </c>
      <c r="B87" s="17" t="s">
        <v>35</v>
      </c>
      <c r="C87" s="17" t="s">
        <v>30</v>
      </c>
      <c r="D87" s="17" t="s">
        <v>24</v>
      </c>
      <c r="E87" s="18">
        <v>24185</v>
      </c>
      <c r="F87" s="19">
        <v>52192972.549999997</v>
      </c>
      <c r="G87" s="17">
        <v>2.95</v>
      </c>
      <c r="H87" s="17">
        <v>40.549999999999997</v>
      </c>
      <c r="I87" s="17">
        <v>46.73</v>
      </c>
      <c r="J87" s="17">
        <v>200.47</v>
      </c>
      <c r="K87" s="17">
        <v>83.06</v>
      </c>
      <c r="L87" s="20" t="s">
        <v>19</v>
      </c>
    </row>
    <row r="88" spans="1:12" x14ac:dyDescent="0.25">
      <c r="A88" s="11">
        <v>2019</v>
      </c>
      <c r="B88" s="12" t="s">
        <v>35</v>
      </c>
      <c r="C88" s="12" t="s">
        <v>31</v>
      </c>
      <c r="D88" s="12" t="s">
        <v>24</v>
      </c>
      <c r="E88" s="13">
        <v>8422</v>
      </c>
      <c r="F88" s="14">
        <v>11292488.050000001</v>
      </c>
      <c r="G88" s="12">
        <v>6</v>
      </c>
      <c r="H88" s="12">
        <v>55.76</v>
      </c>
      <c r="I88" s="12">
        <v>30.55</v>
      </c>
      <c r="J88" s="12">
        <v>170.31</v>
      </c>
      <c r="K88" s="12">
        <v>78.44</v>
      </c>
      <c r="L88" s="15" t="s">
        <v>17</v>
      </c>
    </row>
    <row r="89" spans="1:12" x14ac:dyDescent="0.25">
      <c r="A89" s="16">
        <v>2019</v>
      </c>
      <c r="B89" s="17" t="s">
        <v>35</v>
      </c>
      <c r="C89" s="17" t="s">
        <v>32</v>
      </c>
      <c r="D89" s="17" t="s">
        <v>24</v>
      </c>
      <c r="E89" s="18">
        <v>56397</v>
      </c>
      <c r="F89" s="19">
        <v>18390883.850000001</v>
      </c>
      <c r="G89" s="17">
        <v>6.11</v>
      </c>
      <c r="H89" s="17">
        <v>70.959999999999994</v>
      </c>
      <c r="I89" s="17">
        <v>23.8</v>
      </c>
      <c r="J89" s="17">
        <v>167.75</v>
      </c>
      <c r="K89" s="17">
        <v>55.21</v>
      </c>
      <c r="L89" s="20" t="s">
        <v>21</v>
      </c>
    </row>
    <row r="90" spans="1:12" x14ac:dyDescent="0.25">
      <c r="A90" s="11">
        <v>2019</v>
      </c>
      <c r="B90" s="12" t="s">
        <v>35</v>
      </c>
      <c r="C90" s="12" t="s">
        <v>33</v>
      </c>
      <c r="D90" s="12" t="s">
        <v>24</v>
      </c>
      <c r="E90" s="13">
        <v>36613</v>
      </c>
      <c r="F90" s="14">
        <v>63070767.789999999</v>
      </c>
      <c r="G90" s="12">
        <v>3.25</v>
      </c>
      <c r="H90" s="12">
        <v>83.96</v>
      </c>
      <c r="I90" s="12">
        <v>13.22</v>
      </c>
      <c r="J90" s="12">
        <v>280.73</v>
      </c>
      <c r="K90" s="12">
        <v>75.510000000000005</v>
      </c>
      <c r="L90" s="15" t="s">
        <v>21</v>
      </c>
    </row>
    <row r="91" spans="1:12" x14ac:dyDescent="0.25">
      <c r="A91" s="16">
        <v>2019</v>
      </c>
      <c r="B91" s="17" t="s">
        <v>35</v>
      </c>
      <c r="C91" s="17" t="s">
        <v>34</v>
      </c>
      <c r="D91" s="17" t="s">
        <v>24</v>
      </c>
      <c r="E91" s="18">
        <v>12030</v>
      </c>
      <c r="F91" s="19">
        <v>33549565.920000002</v>
      </c>
      <c r="G91" s="17">
        <v>5.82</v>
      </c>
      <c r="H91" s="17">
        <v>48.62</v>
      </c>
      <c r="I91" s="17">
        <v>36.32</v>
      </c>
      <c r="J91" s="17">
        <v>227.63</v>
      </c>
      <c r="K91" s="17">
        <v>91.79</v>
      </c>
      <c r="L91" s="20" t="s">
        <v>17</v>
      </c>
    </row>
    <row r="92" spans="1:12" x14ac:dyDescent="0.25">
      <c r="A92" s="11">
        <v>2019</v>
      </c>
      <c r="B92" s="12" t="s">
        <v>36</v>
      </c>
      <c r="C92" s="12" t="s">
        <v>13</v>
      </c>
      <c r="D92" s="12" t="s">
        <v>14</v>
      </c>
      <c r="E92" s="13">
        <v>27112</v>
      </c>
      <c r="F92" s="14">
        <v>27051337.739999998</v>
      </c>
      <c r="G92" s="12">
        <v>3.78</v>
      </c>
      <c r="H92" s="12">
        <v>61.35</v>
      </c>
      <c r="I92" s="12">
        <v>47.48</v>
      </c>
      <c r="J92" s="12">
        <v>152</v>
      </c>
      <c r="K92" s="12">
        <v>50.23</v>
      </c>
      <c r="L92" s="15" t="s">
        <v>21</v>
      </c>
    </row>
    <row r="93" spans="1:12" x14ac:dyDescent="0.25">
      <c r="A93" s="16">
        <v>2019</v>
      </c>
      <c r="B93" s="17" t="s">
        <v>36</v>
      </c>
      <c r="C93" s="17" t="s">
        <v>16</v>
      </c>
      <c r="D93" s="17" t="s">
        <v>14</v>
      </c>
      <c r="E93" s="18">
        <v>28788</v>
      </c>
      <c r="F93" s="19">
        <v>10130230.560000001</v>
      </c>
      <c r="G93" s="17">
        <v>1.38</v>
      </c>
      <c r="H93" s="17">
        <v>25.88</v>
      </c>
      <c r="I93" s="17">
        <v>6.92</v>
      </c>
      <c r="J93" s="17">
        <v>129.04</v>
      </c>
      <c r="K93" s="17">
        <v>46.41</v>
      </c>
      <c r="L93" s="20" t="s">
        <v>19</v>
      </c>
    </row>
    <row r="94" spans="1:12" x14ac:dyDescent="0.25">
      <c r="A94" s="11">
        <v>2019</v>
      </c>
      <c r="B94" s="12" t="s">
        <v>36</v>
      </c>
      <c r="C94" s="12" t="s">
        <v>18</v>
      </c>
      <c r="D94" s="12" t="s">
        <v>14</v>
      </c>
      <c r="E94" s="13">
        <v>29329</v>
      </c>
      <c r="F94" s="14">
        <v>11066723.119999999</v>
      </c>
      <c r="G94" s="12">
        <v>1.23</v>
      </c>
      <c r="H94" s="12">
        <v>57.98</v>
      </c>
      <c r="I94" s="12">
        <v>32.340000000000003</v>
      </c>
      <c r="J94" s="12">
        <v>132.81</v>
      </c>
      <c r="K94" s="12">
        <v>77.31</v>
      </c>
      <c r="L94" s="15" t="s">
        <v>15</v>
      </c>
    </row>
    <row r="95" spans="1:12" x14ac:dyDescent="0.25">
      <c r="A95" s="16">
        <v>2019</v>
      </c>
      <c r="B95" s="17" t="s">
        <v>36</v>
      </c>
      <c r="C95" s="17" t="s">
        <v>20</v>
      </c>
      <c r="D95" s="17" t="s">
        <v>14</v>
      </c>
      <c r="E95" s="18">
        <v>12535</v>
      </c>
      <c r="F95" s="19">
        <v>28466176.109999999</v>
      </c>
      <c r="G95" s="17">
        <v>2.09</v>
      </c>
      <c r="H95" s="17">
        <v>55.61</v>
      </c>
      <c r="I95" s="17">
        <v>31.12</v>
      </c>
      <c r="J95" s="17">
        <v>111.28</v>
      </c>
      <c r="K95" s="17">
        <v>47.14</v>
      </c>
      <c r="L95" s="20" t="s">
        <v>17</v>
      </c>
    </row>
    <row r="96" spans="1:12" x14ac:dyDescent="0.25">
      <c r="A96" s="11">
        <v>2019</v>
      </c>
      <c r="B96" s="12" t="s">
        <v>36</v>
      </c>
      <c r="C96" s="12" t="s">
        <v>22</v>
      </c>
      <c r="D96" s="12" t="s">
        <v>14</v>
      </c>
      <c r="E96" s="13">
        <v>20683</v>
      </c>
      <c r="F96" s="14">
        <v>15828498.960000001</v>
      </c>
      <c r="G96" s="12">
        <v>0.34</v>
      </c>
      <c r="H96" s="12">
        <v>30.32</v>
      </c>
      <c r="I96" s="12">
        <v>-0.65</v>
      </c>
      <c r="J96" s="12">
        <v>239.67</v>
      </c>
      <c r="K96" s="12">
        <v>46.13</v>
      </c>
      <c r="L96" s="15" t="s">
        <v>27</v>
      </c>
    </row>
    <row r="97" spans="1:12" x14ac:dyDescent="0.25">
      <c r="A97" s="16">
        <v>2019</v>
      </c>
      <c r="B97" s="17" t="s">
        <v>36</v>
      </c>
      <c r="C97" s="17" t="s">
        <v>23</v>
      </c>
      <c r="D97" s="17" t="s">
        <v>24</v>
      </c>
      <c r="E97" s="18">
        <v>57404</v>
      </c>
      <c r="F97" s="19">
        <v>22248956.960000001</v>
      </c>
      <c r="G97" s="17">
        <v>6.12</v>
      </c>
      <c r="H97" s="17">
        <v>83.5</v>
      </c>
      <c r="I97" s="17">
        <v>46.57</v>
      </c>
      <c r="J97" s="17">
        <v>211.08</v>
      </c>
      <c r="K97" s="17">
        <v>58.89</v>
      </c>
      <c r="L97" s="20" t="s">
        <v>27</v>
      </c>
    </row>
    <row r="98" spans="1:12" x14ac:dyDescent="0.25">
      <c r="A98" s="11">
        <v>2019</v>
      </c>
      <c r="B98" s="12" t="s">
        <v>36</v>
      </c>
      <c r="C98" s="12" t="s">
        <v>25</v>
      </c>
      <c r="D98" s="12" t="s">
        <v>24</v>
      </c>
      <c r="E98" s="13">
        <v>56869</v>
      </c>
      <c r="F98" s="14">
        <v>78970161.311999902</v>
      </c>
      <c r="G98" s="12">
        <v>6.12</v>
      </c>
      <c r="H98" s="12">
        <v>102.54</v>
      </c>
      <c r="I98" s="12">
        <v>21.09</v>
      </c>
      <c r="J98" s="12">
        <v>83.18</v>
      </c>
      <c r="K98" s="12">
        <v>94.7</v>
      </c>
      <c r="L98" s="15" t="s">
        <v>17</v>
      </c>
    </row>
    <row r="99" spans="1:12" x14ac:dyDescent="0.25">
      <c r="A99" s="16">
        <v>2019</v>
      </c>
      <c r="B99" s="17" t="s">
        <v>36</v>
      </c>
      <c r="C99" s="17" t="s">
        <v>26</v>
      </c>
      <c r="D99" s="17" t="s">
        <v>24</v>
      </c>
      <c r="E99" s="18">
        <v>6542</v>
      </c>
      <c r="F99" s="19">
        <v>13222480.68</v>
      </c>
      <c r="G99" s="17">
        <v>3.5</v>
      </c>
      <c r="H99" s="17">
        <v>88.84</v>
      </c>
      <c r="I99" s="17">
        <v>26.74</v>
      </c>
      <c r="J99" s="17">
        <v>115.63</v>
      </c>
      <c r="K99" s="17">
        <v>54.75</v>
      </c>
      <c r="L99" s="20" t="s">
        <v>15</v>
      </c>
    </row>
    <row r="100" spans="1:12" x14ac:dyDescent="0.25">
      <c r="A100" s="11">
        <v>2019</v>
      </c>
      <c r="B100" s="12" t="s">
        <v>36</v>
      </c>
      <c r="C100" s="12" t="s">
        <v>28</v>
      </c>
      <c r="D100" s="12" t="s">
        <v>24</v>
      </c>
      <c r="E100" s="13">
        <v>57951</v>
      </c>
      <c r="F100" s="14">
        <v>41600297.390000001</v>
      </c>
      <c r="G100" s="12">
        <v>2.72</v>
      </c>
      <c r="H100" s="12">
        <v>55.58</v>
      </c>
      <c r="I100" s="12">
        <v>17.57</v>
      </c>
      <c r="J100" s="12">
        <v>184.77</v>
      </c>
      <c r="K100" s="12">
        <v>67.900000000000006</v>
      </c>
      <c r="L100" s="15" t="s">
        <v>15</v>
      </c>
    </row>
    <row r="101" spans="1:12" x14ac:dyDescent="0.25">
      <c r="A101" s="16">
        <v>2019</v>
      </c>
      <c r="B101" s="17" t="s">
        <v>36</v>
      </c>
      <c r="C101" s="17" t="s">
        <v>29</v>
      </c>
      <c r="D101" s="17" t="s">
        <v>24</v>
      </c>
      <c r="E101" s="18">
        <v>25004</v>
      </c>
      <c r="F101" s="19">
        <v>28940719.489999998</v>
      </c>
      <c r="G101" s="17">
        <v>6.33</v>
      </c>
      <c r="H101" s="17">
        <v>45.56</v>
      </c>
      <c r="I101" s="17">
        <v>44.29</v>
      </c>
      <c r="J101" s="17">
        <v>124.19</v>
      </c>
      <c r="K101" s="17">
        <v>54.15</v>
      </c>
      <c r="L101" s="20" t="s">
        <v>27</v>
      </c>
    </row>
    <row r="102" spans="1:12" x14ac:dyDescent="0.25">
      <c r="A102" s="11">
        <v>2019</v>
      </c>
      <c r="B102" s="12" t="s">
        <v>36</v>
      </c>
      <c r="C102" s="12" t="s">
        <v>30</v>
      </c>
      <c r="D102" s="12" t="s">
        <v>24</v>
      </c>
      <c r="E102" s="13">
        <v>15756</v>
      </c>
      <c r="F102" s="14">
        <v>19796585.920000002</v>
      </c>
      <c r="G102" s="12">
        <v>3.58</v>
      </c>
      <c r="H102" s="12">
        <v>76.64</v>
      </c>
      <c r="I102" s="12">
        <v>36.22</v>
      </c>
      <c r="J102" s="12">
        <v>206.39</v>
      </c>
      <c r="K102" s="12">
        <v>88.16</v>
      </c>
      <c r="L102" s="15" t="s">
        <v>19</v>
      </c>
    </row>
    <row r="103" spans="1:12" x14ac:dyDescent="0.25">
      <c r="A103" s="16">
        <v>2019</v>
      </c>
      <c r="B103" s="17" t="s">
        <v>36</v>
      </c>
      <c r="C103" s="17" t="s">
        <v>31</v>
      </c>
      <c r="D103" s="17" t="s">
        <v>24</v>
      </c>
      <c r="E103" s="18">
        <v>56418</v>
      </c>
      <c r="F103" s="19">
        <v>53656997.799999997</v>
      </c>
      <c r="G103" s="17">
        <v>6.91</v>
      </c>
      <c r="H103" s="17">
        <v>54.03</v>
      </c>
      <c r="I103" s="17">
        <v>24.27</v>
      </c>
      <c r="J103" s="17">
        <v>61.49</v>
      </c>
      <c r="K103" s="17">
        <v>87.97</v>
      </c>
      <c r="L103" s="20" t="s">
        <v>19</v>
      </c>
    </row>
    <row r="104" spans="1:12" x14ac:dyDescent="0.25">
      <c r="A104" s="11">
        <v>2019</v>
      </c>
      <c r="B104" s="12" t="s">
        <v>36</v>
      </c>
      <c r="C104" s="12" t="s">
        <v>32</v>
      </c>
      <c r="D104" s="12" t="s">
        <v>24</v>
      </c>
      <c r="E104" s="13">
        <v>30819</v>
      </c>
      <c r="F104" s="14">
        <v>60274563.340000004</v>
      </c>
      <c r="G104" s="12">
        <v>3.44</v>
      </c>
      <c r="H104" s="12">
        <v>41.17</v>
      </c>
      <c r="I104" s="12">
        <v>26.42</v>
      </c>
      <c r="J104" s="12">
        <v>199.68</v>
      </c>
      <c r="K104" s="12">
        <v>61.6</v>
      </c>
      <c r="L104" s="15" t="s">
        <v>21</v>
      </c>
    </row>
    <row r="105" spans="1:12" x14ac:dyDescent="0.25">
      <c r="A105" s="16">
        <v>2019</v>
      </c>
      <c r="B105" s="17" t="s">
        <v>36</v>
      </c>
      <c r="C105" s="17" t="s">
        <v>33</v>
      </c>
      <c r="D105" s="17" t="s">
        <v>24</v>
      </c>
      <c r="E105" s="18">
        <v>18284</v>
      </c>
      <c r="F105" s="19">
        <v>26788292.559999999</v>
      </c>
      <c r="G105" s="17">
        <v>6.45</v>
      </c>
      <c r="H105" s="17">
        <v>80</v>
      </c>
      <c r="I105" s="17">
        <v>23.63</v>
      </c>
      <c r="J105" s="17">
        <v>137.72999999999999</v>
      </c>
      <c r="K105" s="17">
        <v>81.319999999999993</v>
      </c>
      <c r="L105" s="20" t="s">
        <v>17</v>
      </c>
    </row>
    <row r="106" spans="1:12" x14ac:dyDescent="0.25">
      <c r="A106" s="11">
        <v>2019</v>
      </c>
      <c r="B106" s="12" t="s">
        <v>36</v>
      </c>
      <c r="C106" s="12" t="s">
        <v>34</v>
      </c>
      <c r="D106" s="12" t="s">
        <v>24</v>
      </c>
      <c r="E106" s="13">
        <v>48617</v>
      </c>
      <c r="F106" s="14">
        <v>6134803.4639999997</v>
      </c>
      <c r="G106" s="12">
        <v>6.48</v>
      </c>
      <c r="H106" s="12">
        <v>91.79</v>
      </c>
      <c r="I106" s="12">
        <v>54.94</v>
      </c>
      <c r="J106" s="12">
        <v>88.28</v>
      </c>
      <c r="K106" s="12">
        <v>82.55</v>
      </c>
      <c r="L106" s="15" t="s">
        <v>17</v>
      </c>
    </row>
    <row r="107" spans="1:12" x14ac:dyDescent="0.25">
      <c r="A107" s="16">
        <v>2019</v>
      </c>
      <c r="B107" s="17" t="s">
        <v>37</v>
      </c>
      <c r="C107" s="17" t="s">
        <v>13</v>
      </c>
      <c r="D107" s="17" t="s">
        <v>14</v>
      </c>
      <c r="E107" s="18">
        <v>30040</v>
      </c>
      <c r="F107" s="19">
        <v>34166065.189999998</v>
      </c>
      <c r="G107" s="17">
        <v>1.5699999999999901</v>
      </c>
      <c r="H107" s="17">
        <v>28.49</v>
      </c>
      <c r="I107" s="17">
        <v>47.01</v>
      </c>
      <c r="J107" s="17">
        <v>243.47</v>
      </c>
      <c r="K107" s="17">
        <v>58.24</v>
      </c>
      <c r="L107" s="20" t="s">
        <v>21</v>
      </c>
    </row>
    <row r="108" spans="1:12" x14ac:dyDescent="0.25">
      <c r="A108" s="11">
        <v>2019</v>
      </c>
      <c r="B108" s="12" t="s">
        <v>37</v>
      </c>
      <c r="C108" s="12" t="s">
        <v>16</v>
      </c>
      <c r="D108" s="12" t="s">
        <v>14</v>
      </c>
      <c r="E108" s="13">
        <v>40978</v>
      </c>
      <c r="F108" s="14">
        <v>52202051.460000001</v>
      </c>
      <c r="G108" s="12">
        <v>0.34</v>
      </c>
      <c r="H108" s="12">
        <v>39.979999999999997</v>
      </c>
      <c r="I108" s="12">
        <v>44.96</v>
      </c>
      <c r="J108" s="12">
        <v>130.25</v>
      </c>
      <c r="K108" s="12">
        <v>45.44</v>
      </c>
      <c r="L108" s="15" t="s">
        <v>27</v>
      </c>
    </row>
    <row r="109" spans="1:12" x14ac:dyDescent="0.25">
      <c r="A109" s="16">
        <v>2019</v>
      </c>
      <c r="B109" s="17" t="s">
        <v>37</v>
      </c>
      <c r="C109" s="17" t="s">
        <v>18</v>
      </c>
      <c r="D109" s="17" t="s">
        <v>14</v>
      </c>
      <c r="E109" s="18">
        <v>46113</v>
      </c>
      <c r="F109" s="19">
        <v>23485210.48</v>
      </c>
      <c r="G109" s="17">
        <v>1.89</v>
      </c>
      <c r="H109" s="17">
        <v>69.900000000000006</v>
      </c>
      <c r="I109" s="17">
        <v>13.34</v>
      </c>
      <c r="J109" s="17">
        <v>167.31</v>
      </c>
      <c r="K109" s="17">
        <v>45.48</v>
      </c>
      <c r="L109" s="20" t="s">
        <v>27</v>
      </c>
    </row>
    <row r="110" spans="1:12" x14ac:dyDescent="0.25">
      <c r="A110" s="11">
        <v>2019</v>
      </c>
      <c r="B110" s="12" t="s">
        <v>37</v>
      </c>
      <c r="C110" s="12" t="s">
        <v>20</v>
      </c>
      <c r="D110" s="12" t="s">
        <v>14</v>
      </c>
      <c r="E110" s="13">
        <v>8438</v>
      </c>
      <c r="F110" s="14">
        <v>35324703.520000003</v>
      </c>
      <c r="G110" s="12">
        <v>2.29</v>
      </c>
      <c r="H110" s="12">
        <v>80.900000000000006</v>
      </c>
      <c r="I110" s="12">
        <v>10.53</v>
      </c>
      <c r="J110" s="12">
        <v>80.150000000000006</v>
      </c>
      <c r="K110" s="12">
        <v>75.72</v>
      </c>
      <c r="L110" s="15" t="s">
        <v>19</v>
      </c>
    </row>
    <row r="111" spans="1:12" x14ac:dyDescent="0.25">
      <c r="A111" s="16">
        <v>2019</v>
      </c>
      <c r="B111" s="17" t="s">
        <v>37</v>
      </c>
      <c r="C111" s="17" t="s">
        <v>22</v>
      </c>
      <c r="D111" s="17" t="s">
        <v>14</v>
      </c>
      <c r="E111" s="18">
        <v>23500</v>
      </c>
      <c r="F111" s="19">
        <v>33337345.93</v>
      </c>
      <c r="G111" s="17">
        <v>3.74</v>
      </c>
      <c r="H111" s="17">
        <v>33.06</v>
      </c>
      <c r="I111" s="17">
        <v>18.7</v>
      </c>
      <c r="J111" s="17">
        <v>73.31</v>
      </c>
      <c r="K111" s="17">
        <v>70.739999999999995</v>
      </c>
      <c r="L111" s="20" t="s">
        <v>27</v>
      </c>
    </row>
    <row r="112" spans="1:12" x14ac:dyDescent="0.25">
      <c r="A112" s="11">
        <v>2019</v>
      </c>
      <c r="B112" s="12" t="s">
        <v>37</v>
      </c>
      <c r="C112" s="12" t="s">
        <v>23</v>
      </c>
      <c r="D112" s="12" t="s">
        <v>24</v>
      </c>
      <c r="E112" s="13">
        <v>40164</v>
      </c>
      <c r="F112" s="14">
        <v>21739755.84</v>
      </c>
      <c r="G112" s="12">
        <v>3.76</v>
      </c>
      <c r="H112" s="12">
        <v>50.13</v>
      </c>
      <c r="I112" s="12">
        <v>13.99</v>
      </c>
      <c r="J112" s="12">
        <v>210.05</v>
      </c>
      <c r="K112" s="12">
        <v>58.83</v>
      </c>
      <c r="L112" s="15" t="s">
        <v>17</v>
      </c>
    </row>
    <row r="113" spans="1:12" x14ac:dyDescent="0.25">
      <c r="A113" s="16">
        <v>2019</v>
      </c>
      <c r="B113" s="17" t="s">
        <v>37</v>
      </c>
      <c r="C113" s="17" t="s">
        <v>25</v>
      </c>
      <c r="D113" s="17" t="s">
        <v>24</v>
      </c>
      <c r="E113" s="18">
        <v>53367</v>
      </c>
      <c r="F113" s="19">
        <v>69827344.420000002</v>
      </c>
      <c r="G113" s="17">
        <v>6.1</v>
      </c>
      <c r="H113" s="17">
        <v>95.93</v>
      </c>
      <c r="I113" s="17">
        <v>47.57</v>
      </c>
      <c r="J113" s="17">
        <v>185.7</v>
      </c>
      <c r="K113" s="17">
        <v>93.45</v>
      </c>
      <c r="L113" s="20" t="s">
        <v>21</v>
      </c>
    </row>
    <row r="114" spans="1:12" x14ac:dyDescent="0.25">
      <c r="A114" s="11">
        <v>2019</v>
      </c>
      <c r="B114" s="12" t="s">
        <v>37</v>
      </c>
      <c r="C114" s="12" t="s">
        <v>26</v>
      </c>
      <c r="D114" s="12" t="s">
        <v>24</v>
      </c>
      <c r="E114" s="13">
        <v>37612</v>
      </c>
      <c r="F114" s="14">
        <v>34802846.640000001</v>
      </c>
      <c r="G114" s="12">
        <v>2.5299999999999998</v>
      </c>
      <c r="H114" s="12">
        <v>66.459999999999994</v>
      </c>
      <c r="I114" s="12">
        <v>24.02</v>
      </c>
      <c r="J114" s="12">
        <v>120.07</v>
      </c>
      <c r="K114" s="12">
        <v>87.24</v>
      </c>
      <c r="L114" s="15" t="s">
        <v>19</v>
      </c>
    </row>
    <row r="115" spans="1:12" x14ac:dyDescent="0.25">
      <c r="A115" s="16">
        <v>2019</v>
      </c>
      <c r="B115" s="17" t="s">
        <v>37</v>
      </c>
      <c r="C115" s="17" t="s">
        <v>28</v>
      </c>
      <c r="D115" s="17" t="s">
        <v>24</v>
      </c>
      <c r="E115" s="18">
        <v>31445</v>
      </c>
      <c r="F115" s="19">
        <v>62662104.5</v>
      </c>
      <c r="G115" s="17">
        <v>4.8599999999999897</v>
      </c>
      <c r="H115" s="17">
        <v>61.44</v>
      </c>
      <c r="I115" s="17">
        <v>27.46</v>
      </c>
      <c r="J115" s="17">
        <v>183.03</v>
      </c>
      <c r="K115" s="17">
        <v>72.209999999999994</v>
      </c>
      <c r="L115" s="20" t="s">
        <v>15</v>
      </c>
    </row>
    <row r="116" spans="1:12" x14ac:dyDescent="0.25">
      <c r="A116" s="11">
        <v>2019</v>
      </c>
      <c r="B116" s="12" t="s">
        <v>37</v>
      </c>
      <c r="C116" s="12" t="s">
        <v>29</v>
      </c>
      <c r="D116" s="12" t="s">
        <v>24</v>
      </c>
      <c r="E116" s="13">
        <v>34541</v>
      </c>
      <c r="F116" s="14">
        <v>23308775.82</v>
      </c>
      <c r="G116" s="12">
        <v>4.0299999999999896</v>
      </c>
      <c r="H116" s="12">
        <v>59.35</v>
      </c>
      <c r="I116" s="12">
        <v>8.3699999999999992</v>
      </c>
      <c r="J116" s="12">
        <v>138.66999999999999</v>
      </c>
      <c r="K116" s="12">
        <v>80.349999999999994</v>
      </c>
      <c r="L116" s="15" t="s">
        <v>17</v>
      </c>
    </row>
    <row r="117" spans="1:12" x14ac:dyDescent="0.25">
      <c r="A117" s="16">
        <v>2019</v>
      </c>
      <c r="B117" s="17" t="s">
        <v>37</v>
      </c>
      <c r="C117" s="17" t="s">
        <v>30</v>
      </c>
      <c r="D117" s="17" t="s">
        <v>24</v>
      </c>
      <c r="E117" s="18">
        <v>6719</v>
      </c>
      <c r="F117" s="19">
        <v>38311286.359999999</v>
      </c>
      <c r="G117" s="17">
        <v>5.38</v>
      </c>
      <c r="H117" s="17">
        <v>42.55</v>
      </c>
      <c r="I117" s="17">
        <v>50.32</v>
      </c>
      <c r="J117" s="17">
        <v>110.97</v>
      </c>
      <c r="K117" s="17">
        <v>87.8</v>
      </c>
      <c r="L117" s="20" t="s">
        <v>15</v>
      </c>
    </row>
    <row r="118" spans="1:12" x14ac:dyDescent="0.25">
      <c r="A118" s="11">
        <v>2019</v>
      </c>
      <c r="B118" s="12" t="s">
        <v>37</v>
      </c>
      <c r="C118" s="12" t="s">
        <v>31</v>
      </c>
      <c r="D118" s="12" t="s">
        <v>24</v>
      </c>
      <c r="E118" s="13">
        <v>32919</v>
      </c>
      <c r="F118" s="14">
        <v>38143238.390000001</v>
      </c>
      <c r="G118" s="12">
        <v>6.62</v>
      </c>
      <c r="H118" s="12">
        <v>79.48</v>
      </c>
      <c r="I118" s="12">
        <v>45.85</v>
      </c>
      <c r="J118" s="12">
        <v>295.62</v>
      </c>
      <c r="K118" s="12">
        <v>58.71</v>
      </c>
      <c r="L118" s="15" t="s">
        <v>21</v>
      </c>
    </row>
    <row r="119" spans="1:12" x14ac:dyDescent="0.25">
      <c r="A119" s="16">
        <v>2019</v>
      </c>
      <c r="B119" s="17" t="s">
        <v>37</v>
      </c>
      <c r="C119" s="17" t="s">
        <v>32</v>
      </c>
      <c r="D119" s="17" t="s">
        <v>24</v>
      </c>
      <c r="E119" s="18">
        <v>46371</v>
      </c>
      <c r="F119" s="19">
        <v>71988709.969999999</v>
      </c>
      <c r="G119" s="17">
        <v>3.21</v>
      </c>
      <c r="H119" s="17">
        <v>88.89</v>
      </c>
      <c r="I119" s="17">
        <v>48.87</v>
      </c>
      <c r="J119" s="17">
        <v>265.70999999999998</v>
      </c>
      <c r="K119" s="17">
        <v>90.81</v>
      </c>
      <c r="L119" s="20" t="s">
        <v>27</v>
      </c>
    </row>
    <row r="120" spans="1:12" x14ac:dyDescent="0.25">
      <c r="A120" s="11">
        <v>2019</v>
      </c>
      <c r="B120" s="12" t="s">
        <v>37</v>
      </c>
      <c r="C120" s="12" t="s">
        <v>33</v>
      </c>
      <c r="D120" s="12" t="s">
        <v>24</v>
      </c>
      <c r="E120" s="13">
        <v>40084</v>
      </c>
      <c r="F120" s="14">
        <v>17163852.827999901</v>
      </c>
      <c r="G120" s="12">
        <v>6.33</v>
      </c>
      <c r="H120" s="12">
        <v>42.8</v>
      </c>
      <c r="I120" s="12">
        <v>48.55</v>
      </c>
      <c r="J120" s="12">
        <v>156.88</v>
      </c>
      <c r="K120" s="12">
        <v>53.55</v>
      </c>
      <c r="L120" s="15" t="s">
        <v>15</v>
      </c>
    </row>
    <row r="121" spans="1:12" x14ac:dyDescent="0.25">
      <c r="A121" s="16">
        <v>2019</v>
      </c>
      <c r="B121" s="17" t="s">
        <v>37</v>
      </c>
      <c r="C121" s="17" t="s">
        <v>34</v>
      </c>
      <c r="D121" s="17" t="s">
        <v>24</v>
      </c>
      <c r="E121" s="18">
        <v>20192</v>
      </c>
      <c r="F121" s="19">
        <v>14639182.699999999</v>
      </c>
      <c r="G121" s="17">
        <v>4.6099999999999897</v>
      </c>
      <c r="H121" s="17">
        <v>48.26</v>
      </c>
      <c r="I121" s="17">
        <v>50.86</v>
      </c>
      <c r="J121" s="17">
        <v>195.2</v>
      </c>
      <c r="K121" s="17">
        <v>60.91</v>
      </c>
      <c r="L121" s="20" t="s">
        <v>17</v>
      </c>
    </row>
    <row r="122" spans="1:12" x14ac:dyDescent="0.25">
      <c r="A122" s="11">
        <v>2019</v>
      </c>
      <c r="B122" s="12" t="s">
        <v>36</v>
      </c>
      <c r="C122" s="12" t="s">
        <v>23</v>
      </c>
      <c r="D122" s="12" t="s">
        <v>24</v>
      </c>
      <c r="E122" s="13">
        <v>57404</v>
      </c>
      <c r="F122" s="14">
        <v>22248956.960000001</v>
      </c>
      <c r="G122" s="12">
        <v>6.12</v>
      </c>
      <c r="H122" s="12">
        <v>83.5</v>
      </c>
      <c r="I122" s="12">
        <v>46.57</v>
      </c>
      <c r="J122" s="12">
        <v>211.08</v>
      </c>
      <c r="K122" s="12">
        <v>58.89</v>
      </c>
      <c r="L122" s="15" t="s">
        <v>27</v>
      </c>
    </row>
    <row r="123" spans="1:12" x14ac:dyDescent="0.25">
      <c r="A123" s="16">
        <v>2019</v>
      </c>
      <c r="B123" s="17" t="s">
        <v>12</v>
      </c>
      <c r="C123" s="17" t="s">
        <v>30</v>
      </c>
      <c r="D123" s="17" t="s">
        <v>24</v>
      </c>
      <c r="E123" s="18">
        <v>36255</v>
      </c>
      <c r="F123" s="19">
        <v>12091673.939999999</v>
      </c>
      <c r="G123" s="17">
        <v>4.66</v>
      </c>
      <c r="H123" s="17">
        <v>56.5</v>
      </c>
      <c r="I123" s="17">
        <v>9.77</v>
      </c>
      <c r="J123" s="17">
        <v>81.430000000000007</v>
      </c>
      <c r="K123" s="17">
        <v>85.88</v>
      </c>
      <c r="L123" s="20" t="s">
        <v>19</v>
      </c>
    </row>
    <row r="124" spans="1:12" x14ac:dyDescent="0.25">
      <c r="A124" s="11">
        <v>2019</v>
      </c>
      <c r="B124" s="12" t="s">
        <v>37</v>
      </c>
      <c r="C124" s="12" t="s">
        <v>23</v>
      </c>
      <c r="D124" s="12" t="s">
        <v>24</v>
      </c>
      <c r="E124" s="13">
        <v>40164</v>
      </c>
      <c r="F124" s="14">
        <v>21739755.84</v>
      </c>
      <c r="G124" s="12">
        <v>3.76</v>
      </c>
      <c r="H124" s="12">
        <v>50.13</v>
      </c>
      <c r="I124" s="12">
        <v>13.99</v>
      </c>
      <c r="J124" s="12">
        <v>210.05</v>
      </c>
      <c r="K124" s="12">
        <v>58.83</v>
      </c>
      <c r="L124" s="15" t="s">
        <v>17</v>
      </c>
    </row>
    <row r="125" spans="1:12" x14ac:dyDescent="0.25">
      <c r="A125" s="16">
        <v>2019</v>
      </c>
      <c r="B125" s="17" t="s">
        <v>12</v>
      </c>
      <c r="C125" s="17" t="s">
        <v>29</v>
      </c>
      <c r="D125" s="17" t="s">
        <v>24</v>
      </c>
      <c r="E125" s="18">
        <v>38119</v>
      </c>
      <c r="F125" s="19">
        <v>49899540.799999997</v>
      </c>
      <c r="G125" s="17">
        <v>6.84</v>
      </c>
      <c r="H125" s="17">
        <v>51.21</v>
      </c>
      <c r="I125" s="17">
        <v>38.33</v>
      </c>
      <c r="J125" s="17">
        <v>284.33</v>
      </c>
      <c r="K125" s="17">
        <v>87.01</v>
      </c>
      <c r="L125" s="20" t="s">
        <v>17</v>
      </c>
    </row>
    <row r="126" spans="1:12" x14ac:dyDescent="0.25">
      <c r="A126" s="11">
        <v>2019</v>
      </c>
      <c r="B126" s="12" t="s">
        <v>37</v>
      </c>
      <c r="C126" s="12" t="s">
        <v>25</v>
      </c>
      <c r="D126" s="12" t="s">
        <v>24</v>
      </c>
      <c r="E126" s="13">
        <v>53367</v>
      </c>
      <c r="F126" s="14">
        <v>69827344.420000002</v>
      </c>
      <c r="G126" s="12">
        <v>6.1</v>
      </c>
      <c r="H126" s="12">
        <v>95.93</v>
      </c>
      <c r="I126" s="12">
        <v>47.57</v>
      </c>
      <c r="J126" s="12">
        <v>185.7</v>
      </c>
      <c r="K126" s="12">
        <v>93.45</v>
      </c>
      <c r="L126" s="15" t="s">
        <v>21</v>
      </c>
    </row>
    <row r="127" spans="1:12" x14ac:dyDescent="0.25">
      <c r="A127" s="16">
        <v>2019</v>
      </c>
      <c r="B127" s="17" t="s">
        <v>36</v>
      </c>
      <c r="C127" s="17" t="s">
        <v>30</v>
      </c>
      <c r="D127" s="17" t="s">
        <v>24</v>
      </c>
      <c r="E127" s="18">
        <v>15756</v>
      </c>
      <c r="F127" s="19">
        <v>19796585.920000002</v>
      </c>
      <c r="G127" s="17">
        <v>3.58</v>
      </c>
      <c r="H127" s="17">
        <v>76.64</v>
      </c>
      <c r="I127" s="17">
        <v>36.22</v>
      </c>
      <c r="J127" s="17">
        <v>206.39</v>
      </c>
      <c r="K127" s="17">
        <v>88.16</v>
      </c>
      <c r="L127" s="20" t="s">
        <v>19</v>
      </c>
    </row>
    <row r="128" spans="1:12" x14ac:dyDescent="0.25">
      <c r="A128" s="11">
        <v>2019</v>
      </c>
      <c r="B128" s="12" t="s">
        <v>36</v>
      </c>
      <c r="C128" s="12" t="s">
        <v>31</v>
      </c>
      <c r="D128" s="12" t="s">
        <v>24</v>
      </c>
      <c r="E128" s="13">
        <v>56418</v>
      </c>
      <c r="F128" s="14">
        <v>53656997.799999997</v>
      </c>
      <c r="G128" s="12">
        <v>6.91</v>
      </c>
      <c r="H128" s="12">
        <v>54.03</v>
      </c>
      <c r="I128" s="12">
        <v>24.27</v>
      </c>
      <c r="J128" s="12">
        <v>61.49</v>
      </c>
      <c r="K128" s="12">
        <v>87.97</v>
      </c>
      <c r="L128" s="15" t="s">
        <v>19</v>
      </c>
    </row>
    <row r="129" spans="1:12" x14ac:dyDescent="0.25">
      <c r="A129" s="16">
        <v>2019</v>
      </c>
      <c r="B129" s="17" t="s">
        <v>12</v>
      </c>
      <c r="C129" s="17" t="s">
        <v>16</v>
      </c>
      <c r="D129" s="17" t="s">
        <v>14</v>
      </c>
      <c r="E129" s="18">
        <v>25671</v>
      </c>
      <c r="F129" s="19">
        <v>7240265.60399999</v>
      </c>
      <c r="G129" s="17">
        <v>2.82</v>
      </c>
      <c r="H129" s="17">
        <v>85.8</v>
      </c>
      <c r="I129" s="17">
        <v>42.58</v>
      </c>
      <c r="J129" s="17">
        <v>67.459999999999994</v>
      </c>
      <c r="K129" s="17">
        <v>37.26</v>
      </c>
      <c r="L129" s="20" t="s">
        <v>17</v>
      </c>
    </row>
    <row r="130" spans="1:12" x14ac:dyDescent="0.25">
      <c r="A130" s="11">
        <v>2019</v>
      </c>
      <c r="B130" s="12" t="s">
        <v>12</v>
      </c>
      <c r="C130" s="12" t="s">
        <v>13</v>
      </c>
      <c r="D130" s="12" t="s">
        <v>14</v>
      </c>
      <c r="E130" s="13">
        <v>26396</v>
      </c>
      <c r="F130" s="14">
        <v>4212951.0480000004</v>
      </c>
      <c r="G130" s="12">
        <v>1.04</v>
      </c>
      <c r="H130" s="12">
        <v>57.36</v>
      </c>
      <c r="I130" s="12">
        <v>39.549999999999997</v>
      </c>
      <c r="J130" s="12">
        <v>293.10000000000002</v>
      </c>
      <c r="K130" s="12">
        <v>55.87</v>
      </c>
      <c r="L130" s="15" t="s">
        <v>15</v>
      </c>
    </row>
    <row r="131" spans="1:12" x14ac:dyDescent="0.25">
      <c r="A131" s="16">
        <v>2019</v>
      </c>
      <c r="B131" s="17" t="s">
        <v>12</v>
      </c>
      <c r="C131" s="17" t="s">
        <v>20</v>
      </c>
      <c r="D131" s="17" t="s">
        <v>14</v>
      </c>
      <c r="E131" s="18">
        <v>7177</v>
      </c>
      <c r="F131" s="19">
        <v>21984415.829999998</v>
      </c>
      <c r="G131" s="17">
        <v>0.84</v>
      </c>
      <c r="H131" s="17">
        <v>25.7</v>
      </c>
      <c r="I131" s="17">
        <v>23.41</v>
      </c>
      <c r="J131" s="17">
        <v>105.27</v>
      </c>
      <c r="K131" s="17">
        <v>40.03</v>
      </c>
      <c r="L131" s="20" t="s">
        <v>21</v>
      </c>
    </row>
    <row r="132" spans="1:12" x14ac:dyDescent="0.25">
      <c r="A132" s="11">
        <v>2019</v>
      </c>
      <c r="B132" s="12" t="s">
        <v>36</v>
      </c>
      <c r="C132" s="12" t="s">
        <v>28</v>
      </c>
      <c r="D132" s="12" t="s">
        <v>24</v>
      </c>
      <c r="E132" s="13">
        <v>57951</v>
      </c>
      <c r="F132" s="14">
        <v>41600297.390000001</v>
      </c>
      <c r="G132" s="12">
        <v>2.72</v>
      </c>
      <c r="H132" s="12">
        <v>55.58</v>
      </c>
      <c r="I132" s="12">
        <v>17.57</v>
      </c>
      <c r="J132" s="12">
        <v>184.77</v>
      </c>
      <c r="K132" s="12">
        <v>67.900000000000006</v>
      </c>
      <c r="L132" s="15" t="s">
        <v>15</v>
      </c>
    </row>
    <row r="133" spans="1:12" x14ac:dyDescent="0.25">
      <c r="A133" s="16">
        <v>2019</v>
      </c>
      <c r="B133" s="17" t="s">
        <v>35</v>
      </c>
      <c r="C133" s="17" t="s">
        <v>18</v>
      </c>
      <c r="D133" s="17" t="s">
        <v>14</v>
      </c>
      <c r="E133" s="18">
        <v>17404</v>
      </c>
      <c r="F133" s="19">
        <v>14950208.85</v>
      </c>
      <c r="G133" s="17">
        <v>2.5099999999999998</v>
      </c>
      <c r="H133" s="17">
        <v>38.86</v>
      </c>
      <c r="I133" s="17">
        <v>36.380000000000003</v>
      </c>
      <c r="J133" s="17">
        <v>105.21</v>
      </c>
      <c r="K133" s="17">
        <v>67.78</v>
      </c>
      <c r="L133" s="20" t="s">
        <v>19</v>
      </c>
    </row>
    <row r="134" spans="1:12" x14ac:dyDescent="0.25">
      <c r="A134" s="11">
        <v>2019</v>
      </c>
      <c r="B134" s="12" t="s">
        <v>12</v>
      </c>
      <c r="C134" s="12" t="s">
        <v>16</v>
      </c>
      <c r="D134" s="12" t="s">
        <v>14</v>
      </c>
      <c r="E134" s="13">
        <v>25671</v>
      </c>
      <c r="F134" s="14">
        <v>7240265.60399999</v>
      </c>
      <c r="G134" s="12">
        <v>2.82</v>
      </c>
      <c r="H134" s="12">
        <v>85.8</v>
      </c>
      <c r="I134" s="12">
        <v>42.58</v>
      </c>
      <c r="J134" s="12">
        <v>67.459999999999994</v>
      </c>
      <c r="K134" s="12">
        <v>37.26</v>
      </c>
      <c r="L134" s="15" t="s">
        <v>17</v>
      </c>
    </row>
    <row r="135" spans="1:12" x14ac:dyDescent="0.25">
      <c r="A135" s="16">
        <v>2019</v>
      </c>
      <c r="B135" s="17" t="s">
        <v>35</v>
      </c>
      <c r="C135" s="17" t="s">
        <v>33</v>
      </c>
      <c r="D135" s="17" t="s">
        <v>24</v>
      </c>
      <c r="E135" s="18">
        <v>36613</v>
      </c>
      <c r="F135" s="19">
        <v>63070767.789999999</v>
      </c>
      <c r="G135" s="17">
        <v>3.25</v>
      </c>
      <c r="H135" s="17">
        <v>83.96</v>
      </c>
      <c r="I135" s="17">
        <v>13.22</v>
      </c>
      <c r="J135" s="17">
        <v>280.73</v>
      </c>
      <c r="K135" s="17">
        <v>75.510000000000005</v>
      </c>
      <c r="L135" s="20" t="s">
        <v>21</v>
      </c>
    </row>
    <row r="136" spans="1:12" x14ac:dyDescent="0.25">
      <c r="A136" s="11">
        <v>2019</v>
      </c>
      <c r="B136" s="12" t="s">
        <v>37</v>
      </c>
      <c r="C136" s="12" t="s">
        <v>20</v>
      </c>
      <c r="D136" s="12" t="s">
        <v>14</v>
      </c>
      <c r="E136" s="13">
        <v>8438</v>
      </c>
      <c r="F136" s="14">
        <v>35324703.520000003</v>
      </c>
      <c r="G136" s="12">
        <v>2.29</v>
      </c>
      <c r="H136" s="12">
        <v>80.900000000000006</v>
      </c>
      <c r="I136" s="12">
        <v>10.53</v>
      </c>
      <c r="J136" s="12">
        <v>80.150000000000006</v>
      </c>
      <c r="K136" s="12">
        <v>75.72</v>
      </c>
      <c r="L136" s="15" t="s">
        <v>19</v>
      </c>
    </row>
    <row r="137" spans="1:12" x14ac:dyDescent="0.25">
      <c r="A137" s="16">
        <v>2019</v>
      </c>
      <c r="B137" s="17" t="s">
        <v>12</v>
      </c>
      <c r="C137" s="17" t="s">
        <v>29</v>
      </c>
      <c r="D137" s="17" t="s">
        <v>24</v>
      </c>
      <c r="E137" s="18">
        <v>38119</v>
      </c>
      <c r="F137" s="19">
        <v>49899540.799999997</v>
      </c>
      <c r="G137" s="17">
        <v>6.84</v>
      </c>
      <c r="H137" s="17">
        <v>51.21</v>
      </c>
      <c r="I137" s="17">
        <v>38.33</v>
      </c>
      <c r="J137" s="17">
        <v>284.33</v>
      </c>
      <c r="K137" s="17">
        <v>87.01</v>
      </c>
      <c r="L137" s="20" t="s">
        <v>17</v>
      </c>
    </row>
    <row r="138" spans="1:12" x14ac:dyDescent="0.25">
      <c r="A138" s="11">
        <v>2019</v>
      </c>
      <c r="B138" s="12" t="s">
        <v>36</v>
      </c>
      <c r="C138" s="12" t="s">
        <v>33</v>
      </c>
      <c r="D138" s="12" t="s">
        <v>24</v>
      </c>
      <c r="E138" s="13">
        <v>18284</v>
      </c>
      <c r="F138" s="14">
        <v>26788292.559999999</v>
      </c>
      <c r="G138" s="12">
        <v>6.45</v>
      </c>
      <c r="H138" s="12">
        <v>80</v>
      </c>
      <c r="I138" s="12">
        <v>23.63</v>
      </c>
      <c r="J138" s="12">
        <v>137.72999999999999</v>
      </c>
      <c r="K138" s="12">
        <v>81.319999999999993</v>
      </c>
      <c r="L138" s="15" t="s">
        <v>17</v>
      </c>
    </row>
    <row r="139" spans="1:12" x14ac:dyDescent="0.25">
      <c r="A139" s="16">
        <v>2019</v>
      </c>
      <c r="B139" s="17" t="s">
        <v>35</v>
      </c>
      <c r="C139" s="17" t="s">
        <v>29</v>
      </c>
      <c r="D139" s="17" t="s">
        <v>24</v>
      </c>
      <c r="E139" s="18">
        <v>31105</v>
      </c>
      <c r="F139" s="19">
        <v>12818738.02</v>
      </c>
      <c r="G139" s="17">
        <v>4.7699999999999996</v>
      </c>
      <c r="H139" s="17">
        <v>93.04</v>
      </c>
      <c r="I139" s="17">
        <v>20.52</v>
      </c>
      <c r="J139" s="17">
        <v>110.55</v>
      </c>
      <c r="K139" s="17">
        <v>73.069999999999993</v>
      </c>
      <c r="L139" s="20" t="s">
        <v>21</v>
      </c>
    </row>
    <row r="140" spans="1:12" x14ac:dyDescent="0.25">
      <c r="A140" s="11">
        <v>2019</v>
      </c>
      <c r="B140" s="12" t="s">
        <v>35</v>
      </c>
      <c r="C140" s="12" t="s">
        <v>33</v>
      </c>
      <c r="D140" s="12" t="s">
        <v>24</v>
      </c>
      <c r="E140" s="13">
        <v>36613</v>
      </c>
      <c r="F140" s="14">
        <v>63070767.789999999</v>
      </c>
      <c r="G140" s="12">
        <v>3.25</v>
      </c>
      <c r="H140" s="12">
        <v>83.96</v>
      </c>
      <c r="I140" s="12">
        <v>13.22</v>
      </c>
      <c r="J140" s="12">
        <v>280.73</v>
      </c>
      <c r="K140" s="12">
        <v>75.510000000000005</v>
      </c>
      <c r="L140" s="15" t="s">
        <v>21</v>
      </c>
    </row>
    <row r="141" spans="1:12" x14ac:dyDescent="0.25">
      <c r="A141" s="16">
        <v>2019</v>
      </c>
      <c r="B141" s="17" t="s">
        <v>36</v>
      </c>
      <c r="C141" s="17" t="s">
        <v>20</v>
      </c>
      <c r="D141" s="17" t="s">
        <v>14</v>
      </c>
      <c r="E141" s="18">
        <v>12535</v>
      </c>
      <c r="F141" s="19">
        <v>28466176.109999999</v>
      </c>
      <c r="G141" s="17">
        <v>2.09</v>
      </c>
      <c r="H141" s="17">
        <v>55.61</v>
      </c>
      <c r="I141" s="17">
        <v>31.12</v>
      </c>
      <c r="J141" s="17">
        <v>111.28</v>
      </c>
      <c r="K141" s="17">
        <v>47.14</v>
      </c>
      <c r="L141" s="20" t="s">
        <v>17</v>
      </c>
    </row>
    <row r="142" spans="1:12" x14ac:dyDescent="0.25">
      <c r="A142" s="11">
        <v>2019</v>
      </c>
      <c r="B142" s="12" t="s">
        <v>36</v>
      </c>
      <c r="C142" s="12" t="s">
        <v>22</v>
      </c>
      <c r="D142" s="12" t="s">
        <v>14</v>
      </c>
      <c r="E142" s="13">
        <v>20683</v>
      </c>
      <c r="F142" s="14">
        <v>15828498.960000001</v>
      </c>
      <c r="G142" s="12">
        <v>0.34</v>
      </c>
      <c r="H142" s="12">
        <v>30.32</v>
      </c>
      <c r="I142" s="12">
        <v>-0.65</v>
      </c>
      <c r="J142" s="12">
        <v>239.67</v>
      </c>
      <c r="K142" s="12">
        <v>46.13</v>
      </c>
      <c r="L142" s="15" t="s">
        <v>27</v>
      </c>
    </row>
    <row r="143" spans="1:12" x14ac:dyDescent="0.25">
      <c r="A143" s="16">
        <v>2019</v>
      </c>
      <c r="B143" s="17" t="s">
        <v>36</v>
      </c>
      <c r="C143" s="17" t="s">
        <v>13</v>
      </c>
      <c r="D143" s="17" t="s">
        <v>14</v>
      </c>
      <c r="E143" s="18">
        <v>27112</v>
      </c>
      <c r="F143" s="19">
        <v>27051337.739999998</v>
      </c>
      <c r="G143" s="17">
        <v>3.78</v>
      </c>
      <c r="H143" s="17">
        <v>61.35</v>
      </c>
      <c r="I143" s="17">
        <v>47.48</v>
      </c>
      <c r="J143" s="17">
        <v>152</v>
      </c>
      <c r="K143" s="17">
        <v>50.23</v>
      </c>
      <c r="L143" s="20" t="s">
        <v>21</v>
      </c>
    </row>
    <row r="144" spans="1:12" x14ac:dyDescent="0.25">
      <c r="A144" s="11">
        <v>2019</v>
      </c>
      <c r="B144" s="12" t="s">
        <v>12</v>
      </c>
      <c r="C144" s="12" t="s">
        <v>29</v>
      </c>
      <c r="D144" s="12" t="s">
        <v>24</v>
      </c>
      <c r="E144" s="13">
        <v>38119</v>
      </c>
      <c r="F144" s="14">
        <v>49899540.799999997</v>
      </c>
      <c r="G144" s="12">
        <v>6.84</v>
      </c>
      <c r="H144" s="12">
        <v>51.21</v>
      </c>
      <c r="I144" s="12">
        <v>38.33</v>
      </c>
      <c r="J144" s="12">
        <v>284.33</v>
      </c>
      <c r="K144" s="12">
        <v>87.01</v>
      </c>
      <c r="L144" s="15" t="s">
        <v>17</v>
      </c>
    </row>
    <row r="145" spans="1:12" x14ac:dyDescent="0.25">
      <c r="A145" s="16">
        <v>2019</v>
      </c>
      <c r="B145" s="17" t="s">
        <v>37</v>
      </c>
      <c r="C145" s="17" t="s">
        <v>18</v>
      </c>
      <c r="D145" s="17" t="s">
        <v>14</v>
      </c>
      <c r="E145" s="18">
        <v>46113</v>
      </c>
      <c r="F145" s="19">
        <v>23485210.48</v>
      </c>
      <c r="G145" s="17">
        <v>1.89</v>
      </c>
      <c r="H145" s="17">
        <v>69.900000000000006</v>
      </c>
      <c r="I145" s="17">
        <v>13.34</v>
      </c>
      <c r="J145" s="17">
        <v>167.31</v>
      </c>
      <c r="K145" s="17">
        <v>45.48</v>
      </c>
      <c r="L145" s="20" t="s">
        <v>27</v>
      </c>
    </row>
    <row r="146" spans="1:12" x14ac:dyDescent="0.25">
      <c r="A146" s="11">
        <v>2019</v>
      </c>
      <c r="B146" s="12" t="s">
        <v>35</v>
      </c>
      <c r="C146" s="12" t="s">
        <v>34</v>
      </c>
      <c r="D146" s="12" t="s">
        <v>24</v>
      </c>
      <c r="E146" s="13">
        <v>12030</v>
      </c>
      <c r="F146" s="14">
        <v>33549565.920000002</v>
      </c>
      <c r="G146" s="12">
        <v>5.82</v>
      </c>
      <c r="H146" s="12">
        <v>48.62</v>
      </c>
      <c r="I146" s="12">
        <v>36.32</v>
      </c>
      <c r="J146" s="12">
        <v>227.63</v>
      </c>
      <c r="K146" s="12">
        <v>91.79</v>
      </c>
      <c r="L146" s="15" t="s">
        <v>17</v>
      </c>
    </row>
    <row r="147" spans="1:12" x14ac:dyDescent="0.25">
      <c r="A147" s="16">
        <v>2019</v>
      </c>
      <c r="B147" s="17" t="s">
        <v>12</v>
      </c>
      <c r="C147" s="17" t="s">
        <v>31</v>
      </c>
      <c r="D147" s="17" t="s">
        <v>24</v>
      </c>
      <c r="E147" s="18">
        <v>19643</v>
      </c>
      <c r="F147" s="19">
        <v>36029498.520000003</v>
      </c>
      <c r="G147" s="17">
        <v>5.67</v>
      </c>
      <c r="H147" s="17">
        <v>76.62</v>
      </c>
      <c r="I147" s="17">
        <v>22.84</v>
      </c>
      <c r="J147" s="17">
        <v>220.82</v>
      </c>
      <c r="K147" s="17">
        <v>88.16</v>
      </c>
      <c r="L147" s="20" t="s">
        <v>15</v>
      </c>
    </row>
    <row r="148" spans="1:12" x14ac:dyDescent="0.25">
      <c r="A148" s="11">
        <v>2019</v>
      </c>
      <c r="B148" s="12" t="s">
        <v>12</v>
      </c>
      <c r="C148" s="12" t="s">
        <v>16</v>
      </c>
      <c r="D148" s="12" t="s">
        <v>14</v>
      </c>
      <c r="E148" s="13">
        <v>25671</v>
      </c>
      <c r="F148" s="14">
        <v>7240265.60399999</v>
      </c>
      <c r="G148" s="12">
        <v>2.82</v>
      </c>
      <c r="H148" s="12">
        <v>85.8</v>
      </c>
      <c r="I148" s="12">
        <v>42.58</v>
      </c>
      <c r="J148" s="12">
        <v>67.459999999999994</v>
      </c>
      <c r="K148" s="12">
        <v>37.26</v>
      </c>
      <c r="L148" s="15" t="s">
        <v>17</v>
      </c>
    </row>
    <row r="149" spans="1:12" x14ac:dyDescent="0.25">
      <c r="A149" s="16">
        <v>2019</v>
      </c>
      <c r="B149" s="17" t="s">
        <v>12</v>
      </c>
      <c r="C149" s="17" t="s">
        <v>28</v>
      </c>
      <c r="D149" s="17" t="s">
        <v>24</v>
      </c>
      <c r="E149" s="18">
        <v>40641</v>
      </c>
      <c r="F149" s="19">
        <v>51959555.759999998</v>
      </c>
      <c r="G149" s="17">
        <v>2.64</v>
      </c>
      <c r="H149" s="17">
        <v>44.77</v>
      </c>
      <c r="I149" s="17">
        <v>31.27</v>
      </c>
      <c r="J149" s="17">
        <v>151.18</v>
      </c>
      <c r="K149" s="17">
        <v>66.509999999999906</v>
      </c>
      <c r="L149" s="20" t="s">
        <v>21</v>
      </c>
    </row>
    <row r="150" spans="1:12" x14ac:dyDescent="0.25">
      <c r="A150" s="11">
        <v>2019</v>
      </c>
      <c r="B150" s="12" t="s">
        <v>37</v>
      </c>
      <c r="C150" s="12" t="s">
        <v>23</v>
      </c>
      <c r="D150" s="12" t="s">
        <v>24</v>
      </c>
      <c r="E150" s="13">
        <v>40164</v>
      </c>
      <c r="F150" s="14">
        <v>21739755.84</v>
      </c>
      <c r="G150" s="12">
        <v>3.76</v>
      </c>
      <c r="H150" s="12">
        <v>50.13</v>
      </c>
      <c r="I150" s="12">
        <v>13.99</v>
      </c>
      <c r="J150" s="12">
        <v>210.05</v>
      </c>
      <c r="K150" s="12">
        <v>58.83</v>
      </c>
      <c r="L150" s="15" t="s">
        <v>17</v>
      </c>
    </row>
    <row r="151" spans="1:12" x14ac:dyDescent="0.25">
      <c r="A151" s="16">
        <v>2019</v>
      </c>
      <c r="B151" s="17" t="s">
        <v>12</v>
      </c>
      <c r="C151" s="17" t="s">
        <v>26</v>
      </c>
      <c r="D151" s="17" t="s">
        <v>24</v>
      </c>
      <c r="E151" s="18">
        <v>58711</v>
      </c>
      <c r="F151" s="19">
        <v>70175779.069999993</v>
      </c>
      <c r="G151" s="17">
        <v>4.92</v>
      </c>
      <c r="H151" s="17">
        <v>79.95</v>
      </c>
      <c r="I151" s="17">
        <v>49.7</v>
      </c>
      <c r="J151" s="17">
        <v>191.42</v>
      </c>
      <c r="K151" s="17">
        <v>74.83</v>
      </c>
      <c r="L151" s="20" t="s">
        <v>27</v>
      </c>
    </row>
    <row r="152" spans="1:12" x14ac:dyDescent="0.25">
      <c r="A152" s="11">
        <v>2019</v>
      </c>
      <c r="B152" s="12" t="s">
        <v>35</v>
      </c>
      <c r="C152" s="12" t="s">
        <v>29</v>
      </c>
      <c r="D152" s="12" t="s">
        <v>24</v>
      </c>
      <c r="E152" s="13">
        <v>31105</v>
      </c>
      <c r="F152" s="14">
        <v>12818738.02</v>
      </c>
      <c r="G152" s="12">
        <v>4.7699999999999996</v>
      </c>
      <c r="H152" s="12">
        <v>93.04</v>
      </c>
      <c r="I152" s="12">
        <v>20.52</v>
      </c>
      <c r="J152" s="12">
        <v>110.55</v>
      </c>
      <c r="K152" s="12">
        <v>73.069999999999993</v>
      </c>
      <c r="L152" s="15" t="s">
        <v>21</v>
      </c>
    </row>
    <row r="153" spans="1:12" x14ac:dyDescent="0.25">
      <c r="A153" s="16">
        <v>2019</v>
      </c>
      <c r="B153" s="17" t="s">
        <v>12</v>
      </c>
      <c r="C153" s="17" t="s">
        <v>31</v>
      </c>
      <c r="D153" s="17" t="s">
        <v>24</v>
      </c>
      <c r="E153" s="18">
        <v>19643</v>
      </c>
      <c r="F153" s="19">
        <v>36029498.520000003</v>
      </c>
      <c r="G153" s="17">
        <v>5.67</v>
      </c>
      <c r="H153" s="17">
        <v>76.62</v>
      </c>
      <c r="I153" s="17">
        <v>22.84</v>
      </c>
      <c r="J153" s="17">
        <v>220.82</v>
      </c>
      <c r="K153" s="17">
        <v>88.16</v>
      </c>
      <c r="L153" s="20" t="s">
        <v>15</v>
      </c>
    </row>
    <row r="154" spans="1:12" x14ac:dyDescent="0.25">
      <c r="A154" s="11">
        <v>2019</v>
      </c>
      <c r="B154" s="12" t="s">
        <v>12</v>
      </c>
      <c r="C154" s="12" t="s">
        <v>26</v>
      </c>
      <c r="D154" s="12" t="s">
        <v>24</v>
      </c>
      <c r="E154" s="13">
        <v>58711</v>
      </c>
      <c r="F154" s="14">
        <v>70175779.069999993</v>
      </c>
      <c r="G154" s="12">
        <v>4.92</v>
      </c>
      <c r="H154" s="12">
        <v>79.95</v>
      </c>
      <c r="I154" s="12">
        <v>49.7</v>
      </c>
      <c r="J154" s="12">
        <v>191.42</v>
      </c>
      <c r="K154" s="12">
        <v>74.83</v>
      </c>
      <c r="L154" s="15" t="s">
        <v>27</v>
      </c>
    </row>
    <row r="155" spans="1:12" x14ac:dyDescent="0.25">
      <c r="A155" s="16">
        <v>2019</v>
      </c>
      <c r="B155" s="17" t="s">
        <v>36</v>
      </c>
      <c r="C155" s="17" t="s">
        <v>32</v>
      </c>
      <c r="D155" s="17" t="s">
        <v>24</v>
      </c>
      <c r="E155" s="18">
        <v>30819</v>
      </c>
      <c r="F155" s="19">
        <v>60274563.340000004</v>
      </c>
      <c r="G155" s="17">
        <v>3.44</v>
      </c>
      <c r="H155" s="17">
        <v>41.17</v>
      </c>
      <c r="I155" s="17">
        <v>26.42</v>
      </c>
      <c r="J155" s="17">
        <v>199.68</v>
      </c>
      <c r="K155" s="17">
        <v>61.6</v>
      </c>
      <c r="L155" s="20" t="s">
        <v>21</v>
      </c>
    </row>
    <row r="156" spans="1:12" x14ac:dyDescent="0.25">
      <c r="A156" s="11">
        <v>2019</v>
      </c>
      <c r="B156" s="12" t="s">
        <v>36</v>
      </c>
      <c r="C156" s="12" t="s">
        <v>13</v>
      </c>
      <c r="D156" s="12" t="s">
        <v>14</v>
      </c>
      <c r="E156" s="13">
        <v>27112</v>
      </c>
      <c r="F156" s="14">
        <v>27051337.739999998</v>
      </c>
      <c r="G156" s="12">
        <v>3.78</v>
      </c>
      <c r="H156" s="12">
        <v>61.35</v>
      </c>
      <c r="I156" s="12">
        <v>47.48</v>
      </c>
      <c r="J156" s="12">
        <v>152</v>
      </c>
      <c r="K156" s="12">
        <v>50.23</v>
      </c>
      <c r="L156" s="15" t="s">
        <v>21</v>
      </c>
    </row>
    <row r="157" spans="1:12" x14ac:dyDescent="0.25">
      <c r="A157" s="16">
        <v>2019</v>
      </c>
      <c r="B157" s="17" t="s">
        <v>36</v>
      </c>
      <c r="C157" s="17" t="s">
        <v>16</v>
      </c>
      <c r="D157" s="17" t="s">
        <v>14</v>
      </c>
      <c r="E157" s="18">
        <v>28788</v>
      </c>
      <c r="F157" s="19">
        <v>10130230.560000001</v>
      </c>
      <c r="G157" s="17">
        <v>1.38</v>
      </c>
      <c r="H157" s="17">
        <v>25.88</v>
      </c>
      <c r="I157" s="17">
        <v>6.92</v>
      </c>
      <c r="J157" s="17">
        <v>129.04</v>
      </c>
      <c r="K157" s="17">
        <v>46.41</v>
      </c>
      <c r="L157" s="20" t="s">
        <v>19</v>
      </c>
    </row>
    <row r="158" spans="1:12" x14ac:dyDescent="0.25">
      <c r="A158" s="11">
        <v>2019</v>
      </c>
      <c r="B158" s="12" t="s">
        <v>35</v>
      </c>
      <c r="C158" s="12" t="s">
        <v>31</v>
      </c>
      <c r="D158" s="12" t="s">
        <v>24</v>
      </c>
      <c r="E158" s="13">
        <v>8422</v>
      </c>
      <c r="F158" s="14">
        <v>11292488.050000001</v>
      </c>
      <c r="G158" s="12">
        <v>6</v>
      </c>
      <c r="H158" s="12">
        <v>55.76</v>
      </c>
      <c r="I158" s="12">
        <v>30.55</v>
      </c>
      <c r="J158" s="12">
        <v>170.31</v>
      </c>
      <c r="K158" s="12">
        <v>78.44</v>
      </c>
      <c r="L158" s="15" t="s">
        <v>17</v>
      </c>
    </row>
    <row r="159" spans="1:12" x14ac:dyDescent="0.25">
      <c r="A159" s="16">
        <v>2019</v>
      </c>
      <c r="B159" s="17" t="s">
        <v>36</v>
      </c>
      <c r="C159" s="17" t="s">
        <v>22</v>
      </c>
      <c r="D159" s="17" t="s">
        <v>14</v>
      </c>
      <c r="E159" s="18">
        <v>20683</v>
      </c>
      <c r="F159" s="19">
        <v>15828498.960000001</v>
      </c>
      <c r="G159" s="17">
        <v>0.34</v>
      </c>
      <c r="H159" s="17">
        <v>30.32</v>
      </c>
      <c r="I159" s="17">
        <v>-0.65</v>
      </c>
      <c r="J159" s="17">
        <v>239.67</v>
      </c>
      <c r="K159" s="17">
        <v>46.13</v>
      </c>
      <c r="L159" s="20" t="s">
        <v>27</v>
      </c>
    </row>
    <row r="160" spans="1:12" x14ac:dyDescent="0.25">
      <c r="A160" s="11">
        <v>2019</v>
      </c>
      <c r="B160" s="12" t="s">
        <v>12</v>
      </c>
      <c r="C160" s="12" t="s">
        <v>18</v>
      </c>
      <c r="D160" s="12" t="s">
        <v>14</v>
      </c>
      <c r="E160" s="13">
        <v>16573</v>
      </c>
      <c r="F160" s="14">
        <v>25608331.510000002</v>
      </c>
      <c r="G160" s="12">
        <v>-0.03</v>
      </c>
      <c r="H160" s="12">
        <v>47.02</v>
      </c>
      <c r="I160" s="12">
        <v>3.78</v>
      </c>
      <c r="J160" s="12">
        <v>77.25</v>
      </c>
      <c r="K160" s="12">
        <v>84.66</v>
      </c>
      <c r="L160" s="15" t="s">
        <v>19</v>
      </c>
    </row>
    <row r="161" spans="1:12" x14ac:dyDescent="0.25">
      <c r="A161" s="16">
        <v>2019</v>
      </c>
      <c r="B161" s="17" t="s">
        <v>35</v>
      </c>
      <c r="C161" s="17" t="s">
        <v>30</v>
      </c>
      <c r="D161" s="17" t="s">
        <v>24</v>
      </c>
      <c r="E161" s="18">
        <v>24185</v>
      </c>
      <c r="F161" s="19">
        <v>52192972.549999997</v>
      </c>
      <c r="G161" s="17">
        <v>2.95</v>
      </c>
      <c r="H161" s="17">
        <v>40.549999999999997</v>
      </c>
      <c r="I161" s="17">
        <v>46.73</v>
      </c>
      <c r="J161" s="17">
        <v>200.47</v>
      </c>
      <c r="K161" s="17">
        <v>83.06</v>
      </c>
      <c r="L161" s="20" t="s">
        <v>19</v>
      </c>
    </row>
    <row r="162" spans="1:12" x14ac:dyDescent="0.25">
      <c r="A162" s="11">
        <v>2019</v>
      </c>
      <c r="B162" s="12" t="s">
        <v>35</v>
      </c>
      <c r="C162" s="12" t="s">
        <v>33</v>
      </c>
      <c r="D162" s="12" t="s">
        <v>24</v>
      </c>
      <c r="E162" s="13">
        <v>36613</v>
      </c>
      <c r="F162" s="14">
        <v>63070767.789999999</v>
      </c>
      <c r="G162" s="12">
        <v>3.25</v>
      </c>
      <c r="H162" s="12">
        <v>83.96</v>
      </c>
      <c r="I162" s="12">
        <v>13.22</v>
      </c>
      <c r="J162" s="12">
        <v>280.73</v>
      </c>
      <c r="K162" s="12">
        <v>75.510000000000005</v>
      </c>
      <c r="L162" s="15" t="s">
        <v>21</v>
      </c>
    </row>
    <row r="163" spans="1:12" x14ac:dyDescent="0.25">
      <c r="A163" s="16">
        <v>2019</v>
      </c>
      <c r="B163" s="17" t="s">
        <v>12</v>
      </c>
      <c r="C163" s="17" t="s">
        <v>30</v>
      </c>
      <c r="D163" s="17" t="s">
        <v>24</v>
      </c>
      <c r="E163" s="18">
        <v>36255</v>
      </c>
      <c r="F163" s="19">
        <v>12091673.939999999</v>
      </c>
      <c r="G163" s="17">
        <v>4.66</v>
      </c>
      <c r="H163" s="17">
        <v>56.5</v>
      </c>
      <c r="I163" s="17">
        <v>9.77</v>
      </c>
      <c r="J163" s="17">
        <v>81.430000000000007</v>
      </c>
      <c r="K163" s="17">
        <v>85.88</v>
      </c>
      <c r="L163" s="20" t="s">
        <v>19</v>
      </c>
    </row>
    <row r="164" spans="1:12" x14ac:dyDescent="0.25">
      <c r="A164" s="11">
        <v>2019</v>
      </c>
      <c r="B164" s="12" t="s">
        <v>12</v>
      </c>
      <c r="C164" s="12" t="s">
        <v>29</v>
      </c>
      <c r="D164" s="12" t="s">
        <v>24</v>
      </c>
      <c r="E164" s="13">
        <v>38119</v>
      </c>
      <c r="F164" s="14">
        <v>49899540.799999997</v>
      </c>
      <c r="G164" s="12">
        <v>6.84</v>
      </c>
      <c r="H164" s="12">
        <v>51.21</v>
      </c>
      <c r="I164" s="12">
        <v>38.33</v>
      </c>
      <c r="J164" s="12">
        <v>284.33</v>
      </c>
      <c r="K164" s="12">
        <v>87.01</v>
      </c>
      <c r="L164" s="15" t="s">
        <v>17</v>
      </c>
    </row>
    <row r="165" spans="1:12" x14ac:dyDescent="0.25">
      <c r="A165" s="16">
        <v>2019</v>
      </c>
      <c r="B165" s="17" t="s">
        <v>12</v>
      </c>
      <c r="C165" s="17" t="s">
        <v>30</v>
      </c>
      <c r="D165" s="17" t="s">
        <v>24</v>
      </c>
      <c r="E165" s="18">
        <v>36255</v>
      </c>
      <c r="F165" s="19">
        <v>12091673.939999999</v>
      </c>
      <c r="G165" s="17">
        <v>4.66</v>
      </c>
      <c r="H165" s="17">
        <v>56.5</v>
      </c>
      <c r="I165" s="17">
        <v>9.77</v>
      </c>
      <c r="J165" s="17">
        <v>81.430000000000007</v>
      </c>
      <c r="K165" s="17">
        <v>85.88</v>
      </c>
      <c r="L165" s="20" t="s">
        <v>19</v>
      </c>
    </row>
    <row r="166" spans="1:12" x14ac:dyDescent="0.25">
      <c r="A166" s="11">
        <v>2019</v>
      </c>
      <c r="B166" s="12" t="s">
        <v>37</v>
      </c>
      <c r="C166" s="12" t="s">
        <v>13</v>
      </c>
      <c r="D166" s="12" t="s">
        <v>14</v>
      </c>
      <c r="E166" s="13">
        <v>30040</v>
      </c>
      <c r="F166" s="14">
        <v>34166065.189999998</v>
      </c>
      <c r="G166" s="12">
        <v>1.5699999999999901</v>
      </c>
      <c r="H166" s="12">
        <v>28.49</v>
      </c>
      <c r="I166" s="12">
        <v>47.01</v>
      </c>
      <c r="J166" s="12">
        <v>243.47</v>
      </c>
      <c r="K166" s="12">
        <v>58.24</v>
      </c>
      <c r="L166" s="15" t="s">
        <v>21</v>
      </c>
    </row>
    <row r="167" spans="1:12" x14ac:dyDescent="0.25">
      <c r="A167" s="16">
        <v>2019</v>
      </c>
      <c r="B167" s="17" t="s">
        <v>35</v>
      </c>
      <c r="C167" s="17" t="s">
        <v>16</v>
      </c>
      <c r="D167" s="17" t="s">
        <v>14</v>
      </c>
      <c r="E167" s="18">
        <v>38253</v>
      </c>
      <c r="F167" s="19">
        <v>53195937.002999999</v>
      </c>
      <c r="G167" s="17">
        <v>-0.05</v>
      </c>
      <c r="H167" s="17">
        <v>76.73</v>
      </c>
      <c r="I167" s="17">
        <v>31.96</v>
      </c>
      <c r="J167" s="17">
        <v>273.85000000000002</v>
      </c>
      <c r="K167" s="17">
        <v>38.28</v>
      </c>
      <c r="L167" s="20" t="s">
        <v>19</v>
      </c>
    </row>
    <row r="168" spans="1:12" x14ac:dyDescent="0.25">
      <c r="A168" s="11">
        <v>2019</v>
      </c>
      <c r="B168" s="12" t="s">
        <v>12</v>
      </c>
      <c r="C168" s="12" t="s">
        <v>32</v>
      </c>
      <c r="D168" s="12" t="s">
        <v>24</v>
      </c>
      <c r="E168" s="13">
        <v>12612</v>
      </c>
      <c r="F168" s="14">
        <v>57161551.82</v>
      </c>
      <c r="G168" s="12">
        <v>3.24</v>
      </c>
      <c r="H168" s="12">
        <v>64.479999999999905</v>
      </c>
      <c r="I168" s="12">
        <v>14.98</v>
      </c>
      <c r="J168" s="12">
        <v>161.49</v>
      </c>
      <c r="K168" s="12">
        <v>85.67</v>
      </c>
      <c r="L168" s="15" t="s">
        <v>19</v>
      </c>
    </row>
    <row r="169" spans="1:12" x14ac:dyDescent="0.25">
      <c r="A169" s="16">
        <v>2019</v>
      </c>
      <c r="B169" s="17" t="s">
        <v>36</v>
      </c>
      <c r="C169" s="17" t="s">
        <v>34</v>
      </c>
      <c r="D169" s="17" t="s">
        <v>24</v>
      </c>
      <c r="E169" s="18">
        <v>48617</v>
      </c>
      <c r="F169" s="19">
        <v>6134803.4639999997</v>
      </c>
      <c r="G169" s="17">
        <v>6.48</v>
      </c>
      <c r="H169" s="17">
        <v>91.79</v>
      </c>
      <c r="I169" s="17">
        <v>54.94</v>
      </c>
      <c r="J169" s="17">
        <v>88.28</v>
      </c>
      <c r="K169" s="17">
        <v>82.55</v>
      </c>
      <c r="L169" s="20" t="s">
        <v>17</v>
      </c>
    </row>
    <row r="170" spans="1:12" x14ac:dyDescent="0.25">
      <c r="A170" s="11">
        <v>2019</v>
      </c>
      <c r="B170" s="12" t="s">
        <v>37</v>
      </c>
      <c r="C170" s="12" t="s">
        <v>25</v>
      </c>
      <c r="D170" s="12" t="s">
        <v>24</v>
      </c>
      <c r="E170" s="13">
        <v>53367</v>
      </c>
      <c r="F170" s="14">
        <v>69827344.420000002</v>
      </c>
      <c r="G170" s="12">
        <v>6.1</v>
      </c>
      <c r="H170" s="12">
        <v>95.93</v>
      </c>
      <c r="I170" s="12">
        <v>47.57</v>
      </c>
      <c r="J170" s="12">
        <v>185.7</v>
      </c>
      <c r="K170" s="12">
        <v>93.45</v>
      </c>
      <c r="L170" s="15" t="s">
        <v>21</v>
      </c>
    </row>
    <row r="171" spans="1:12" x14ac:dyDescent="0.25">
      <c r="A171" s="16">
        <v>2019</v>
      </c>
      <c r="B171" s="17" t="s">
        <v>36</v>
      </c>
      <c r="C171" s="17" t="s">
        <v>26</v>
      </c>
      <c r="D171" s="17" t="s">
        <v>24</v>
      </c>
      <c r="E171" s="18">
        <v>6542</v>
      </c>
      <c r="F171" s="19">
        <v>13222480.68</v>
      </c>
      <c r="G171" s="17">
        <v>3.5</v>
      </c>
      <c r="H171" s="17">
        <v>88.84</v>
      </c>
      <c r="I171" s="17">
        <v>26.74</v>
      </c>
      <c r="J171" s="17">
        <v>115.63</v>
      </c>
      <c r="K171" s="17">
        <v>54.75</v>
      </c>
      <c r="L171" s="20" t="s">
        <v>15</v>
      </c>
    </row>
    <row r="172" spans="1:12" x14ac:dyDescent="0.25">
      <c r="A172" s="11">
        <v>2019</v>
      </c>
      <c r="B172" s="12" t="s">
        <v>12</v>
      </c>
      <c r="C172" s="12" t="s">
        <v>30</v>
      </c>
      <c r="D172" s="12" t="s">
        <v>24</v>
      </c>
      <c r="E172" s="13">
        <v>36255</v>
      </c>
      <c r="F172" s="14">
        <v>12091673.939999999</v>
      </c>
      <c r="G172" s="12">
        <v>4.66</v>
      </c>
      <c r="H172" s="12">
        <v>56.5</v>
      </c>
      <c r="I172" s="12">
        <v>9.77</v>
      </c>
      <c r="J172" s="12">
        <v>81.430000000000007</v>
      </c>
      <c r="K172" s="12">
        <v>85.88</v>
      </c>
      <c r="L172" s="15" t="s">
        <v>19</v>
      </c>
    </row>
    <row r="173" spans="1:12" x14ac:dyDescent="0.25">
      <c r="A173" s="16">
        <v>2019</v>
      </c>
      <c r="B173" s="17" t="s">
        <v>37</v>
      </c>
      <c r="C173" s="17" t="s">
        <v>29</v>
      </c>
      <c r="D173" s="17" t="s">
        <v>24</v>
      </c>
      <c r="E173" s="18">
        <v>34541</v>
      </c>
      <c r="F173" s="19">
        <v>23308775.82</v>
      </c>
      <c r="G173" s="17">
        <v>4.0299999999999896</v>
      </c>
      <c r="H173" s="17">
        <v>59.35</v>
      </c>
      <c r="I173" s="17">
        <v>8.3699999999999992</v>
      </c>
      <c r="J173" s="17">
        <v>138.66999999999999</v>
      </c>
      <c r="K173" s="17">
        <v>80.349999999999994</v>
      </c>
      <c r="L173" s="20" t="s">
        <v>17</v>
      </c>
    </row>
    <row r="174" spans="1:12" x14ac:dyDescent="0.25">
      <c r="A174" s="11">
        <v>2019</v>
      </c>
      <c r="B174" s="12" t="s">
        <v>37</v>
      </c>
      <c r="C174" s="12" t="s">
        <v>30</v>
      </c>
      <c r="D174" s="12" t="s">
        <v>24</v>
      </c>
      <c r="E174" s="13">
        <v>6719</v>
      </c>
      <c r="F174" s="14">
        <v>38311286.359999999</v>
      </c>
      <c r="G174" s="12">
        <v>5.38</v>
      </c>
      <c r="H174" s="12">
        <v>42.55</v>
      </c>
      <c r="I174" s="12">
        <v>50.32</v>
      </c>
      <c r="J174" s="12">
        <v>110.97</v>
      </c>
      <c r="K174" s="12">
        <v>87.8</v>
      </c>
      <c r="L174" s="15" t="s">
        <v>15</v>
      </c>
    </row>
    <row r="175" spans="1:12" x14ac:dyDescent="0.25">
      <c r="A175" s="16">
        <v>2020</v>
      </c>
      <c r="B175" s="17" t="s">
        <v>12</v>
      </c>
      <c r="C175" s="17" t="s">
        <v>13</v>
      </c>
      <c r="D175" s="17" t="s">
        <v>14</v>
      </c>
      <c r="E175" s="18">
        <v>17825</v>
      </c>
      <c r="F175" s="19">
        <v>37347187.770000003</v>
      </c>
      <c r="G175" s="17">
        <v>0.159999999999999</v>
      </c>
      <c r="H175" s="17">
        <v>62.97</v>
      </c>
      <c r="I175" s="17">
        <v>26.44</v>
      </c>
      <c r="J175" s="17">
        <v>245.48</v>
      </c>
      <c r="K175" s="17">
        <v>75.23</v>
      </c>
      <c r="L175" s="20" t="s">
        <v>27</v>
      </c>
    </row>
    <row r="176" spans="1:12" x14ac:dyDescent="0.25">
      <c r="A176" s="11">
        <v>2020</v>
      </c>
      <c r="B176" s="12" t="s">
        <v>12</v>
      </c>
      <c r="C176" s="12" t="s">
        <v>16</v>
      </c>
      <c r="D176" s="12" t="s">
        <v>14</v>
      </c>
      <c r="E176" s="13">
        <v>21472</v>
      </c>
      <c r="F176" s="14">
        <v>34965645.310000002</v>
      </c>
      <c r="G176" s="12">
        <v>0.25</v>
      </c>
      <c r="H176" s="12">
        <v>49.22</v>
      </c>
      <c r="I176" s="12">
        <v>24.99</v>
      </c>
      <c r="J176" s="12">
        <v>247.01</v>
      </c>
      <c r="K176" s="12">
        <v>80.17</v>
      </c>
      <c r="L176" s="15" t="s">
        <v>17</v>
      </c>
    </row>
    <row r="177" spans="1:12" x14ac:dyDescent="0.25">
      <c r="A177" s="16">
        <v>2020</v>
      </c>
      <c r="B177" s="17" t="s">
        <v>12</v>
      </c>
      <c r="C177" s="17" t="s">
        <v>18</v>
      </c>
      <c r="D177" s="17" t="s">
        <v>14</v>
      </c>
      <c r="E177" s="18">
        <v>35641</v>
      </c>
      <c r="F177" s="19">
        <v>48775290.390000001</v>
      </c>
      <c r="G177" s="17">
        <v>3.88</v>
      </c>
      <c r="H177" s="17">
        <v>60.51</v>
      </c>
      <c r="I177" s="17">
        <v>6.1</v>
      </c>
      <c r="J177" s="17">
        <v>196.59</v>
      </c>
      <c r="K177" s="17">
        <v>78.94</v>
      </c>
      <c r="L177" s="20" t="s">
        <v>21</v>
      </c>
    </row>
    <row r="178" spans="1:12" x14ac:dyDescent="0.25">
      <c r="A178" s="11">
        <v>2020</v>
      </c>
      <c r="B178" s="12" t="s">
        <v>12</v>
      </c>
      <c r="C178" s="12" t="s">
        <v>20</v>
      </c>
      <c r="D178" s="12" t="s">
        <v>14</v>
      </c>
      <c r="E178" s="13">
        <v>18960</v>
      </c>
      <c r="F178" s="14">
        <v>25972084.140000001</v>
      </c>
      <c r="G178" s="12">
        <v>0.53</v>
      </c>
      <c r="H178" s="12">
        <v>72.69</v>
      </c>
      <c r="I178" s="12">
        <v>26.51</v>
      </c>
      <c r="J178" s="12">
        <v>157.1</v>
      </c>
      <c r="K178" s="12">
        <v>53.68</v>
      </c>
      <c r="L178" s="15" t="s">
        <v>17</v>
      </c>
    </row>
    <row r="179" spans="1:12" x14ac:dyDescent="0.25">
      <c r="A179" s="16">
        <v>2020</v>
      </c>
      <c r="B179" s="17" t="s">
        <v>12</v>
      </c>
      <c r="C179" s="17" t="s">
        <v>22</v>
      </c>
      <c r="D179" s="17" t="s">
        <v>14</v>
      </c>
      <c r="E179" s="18">
        <v>18546</v>
      </c>
      <c r="F179" s="19">
        <v>42315159.990000002</v>
      </c>
      <c r="G179" s="17">
        <v>1.81</v>
      </c>
      <c r="H179" s="17">
        <v>58.09</v>
      </c>
      <c r="I179" s="17">
        <v>33.08</v>
      </c>
      <c r="J179" s="17">
        <v>110.9</v>
      </c>
      <c r="K179" s="17">
        <v>49.63</v>
      </c>
      <c r="L179" s="20" t="s">
        <v>17</v>
      </c>
    </row>
    <row r="180" spans="1:12" x14ac:dyDescent="0.25">
      <c r="A180" s="11">
        <v>2020</v>
      </c>
      <c r="B180" s="12" t="s">
        <v>12</v>
      </c>
      <c r="C180" s="12" t="s">
        <v>23</v>
      </c>
      <c r="D180" s="12" t="s">
        <v>24</v>
      </c>
      <c r="E180" s="13">
        <v>42883</v>
      </c>
      <c r="F180" s="14">
        <v>18588730.370000001</v>
      </c>
      <c r="G180" s="12">
        <v>6.37</v>
      </c>
      <c r="H180" s="12">
        <v>72.87</v>
      </c>
      <c r="I180" s="12">
        <v>45.86</v>
      </c>
      <c r="J180" s="12">
        <v>273.58999999999997</v>
      </c>
      <c r="K180" s="12">
        <v>52.9</v>
      </c>
      <c r="L180" s="15" t="s">
        <v>15</v>
      </c>
    </row>
    <row r="181" spans="1:12" x14ac:dyDescent="0.25">
      <c r="A181" s="16">
        <v>2020</v>
      </c>
      <c r="B181" s="17" t="s">
        <v>12</v>
      </c>
      <c r="C181" s="17" t="s">
        <v>25</v>
      </c>
      <c r="D181" s="17" t="s">
        <v>24</v>
      </c>
      <c r="E181" s="18">
        <v>49662</v>
      </c>
      <c r="F181" s="19">
        <v>52134225.079999998</v>
      </c>
      <c r="G181" s="17">
        <v>2.9</v>
      </c>
      <c r="H181" s="17">
        <v>96.42</v>
      </c>
      <c r="I181" s="17">
        <v>52.2</v>
      </c>
      <c r="J181" s="17">
        <v>187.23</v>
      </c>
      <c r="K181" s="17">
        <v>76.5</v>
      </c>
      <c r="L181" s="20" t="s">
        <v>19</v>
      </c>
    </row>
    <row r="182" spans="1:12" x14ac:dyDescent="0.25">
      <c r="A182" s="11">
        <v>2020</v>
      </c>
      <c r="B182" s="12" t="s">
        <v>12</v>
      </c>
      <c r="C182" s="12" t="s">
        <v>26</v>
      </c>
      <c r="D182" s="12" t="s">
        <v>24</v>
      </c>
      <c r="E182" s="13">
        <v>48484</v>
      </c>
      <c r="F182" s="14">
        <v>10752134.16</v>
      </c>
      <c r="G182" s="12">
        <v>3.75</v>
      </c>
      <c r="H182" s="12">
        <v>41.49</v>
      </c>
      <c r="I182" s="12">
        <v>10.67</v>
      </c>
      <c r="J182" s="12">
        <v>87.88</v>
      </c>
      <c r="K182" s="12">
        <v>79.09</v>
      </c>
      <c r="L182" s="15" t="s">
        <v>19</v>
      </c>
    </row>
    <row r="183" spans="1:12" x14ac:dyDescent="0.25">
      <c r="A183" s="16">
        <v>2020</v>
      </c>
      <c r="B183" s="17" t="s">
        <v>12</v>
      </c>
      <c r="C183" s="17" t="s">
        <v>28</v>
      </c>
      <c r="D183" s="17" t="s">
        <v>24</v>
      </c>
      <c r="E183" s="18">
        <v>11438</v>
      </c>
      <c r="F183" s="19">
        <v>56002244.289999999</v>
      </c>
      <c r="G183" s="17">
        <v>6.33</v>
      </c>
      <c r="H183" s="17">
        <v>93.95</v>
      </c>
      <c r="I183" s="17">
        <v>52.02</v>
      </c>
      <c r="J183" s="17">
        <v>168.24</v>
      </c>
      <c r="K183" s="17">
        <v>63.04</v>
      </c>
      <c r="L183" s="20" t="s">
        <v>15</v>
      </c>
    </row>
    <row r="184" spans="1:12" x14ac:dyDescent="0.25">
      <c r="A184" s="11">
        <v>2020</v>
      </c>
      <c r="B184" s="12" t="s">
        <v>12</v>
      </c>
      <c r="C184" s="12" t="s">
        <v>29</v>
      </c>
      <c r="D184" s="12" t="s">
        <v>24</v>
      </c>
      <c r="E184" s="13">
        <v>58199</v>
      </c>
      <c r="F184" s="14">
        <v>35481161.409999996</v>
      </c>
      <c r="G184" s="12">
        <v>5.66</v>
      </c>
      <c r="H184" s="12">
        <v>42.96</v>
      </c>
      <c r="I184" s="12">
        <v>27.95</v>
      </c>
      <c r="J184" s="12">
        <v>151.66</v>
      </c>
      <c r="K184" s="12">
        <v>52.29</v>
      </c>
      <c r="L184" s="15" t="s">
        <v>17</v>
      </c>
    </row>
    <row r="185" spans="1:12" x14ac:dyDescent="0.25">
      <c r="A185" s="16">
        <v>2020</v>
      </c>
      <c r="B185" s="17" t="s">
        <v>12</v>
      </c>
      <c r="C185" s="17" t="s">
        <v>30</v>
      </c>
      <c r="D185" s="17" t="s">
        <v>24</v>
      </c>
      <c r="E185" s="18">
        <v>40807</v>
      </c>
      <c r="F185" s="19">
        <v>28409469.32</v>
      </c>
      <c r="G185" s="17">
        <v>3.04</v>
      </c>
      <c r="H185" s="17">
        <v>47.56</v>
      </c>
      <c r="I185" s="17">
        <v>33.590000000000003</v>
      </c>
      <c r="J185" s="17">
        <v>95.38</v>
      </c>
      <c r="K185" s="17">
        <v>57.91</v>
      </c>
      <c r="L185" s="20" t="s">
        <v>17</v>
      </c>
    </row>
    <row r="186" spans="1:12" x14ac:dyDescent="0.25">
      <c r="A186" s="11">
        <v>2020</v>
      </c>
      <c r="B186" s="12" t="s">
        <v>12</v>
      </c>
      <c r="C186" s="12" t="s">
        <v>31</v>
      </c>
      <c r="D186" s="12" t="s">
        <v>24</v>
      </c>
      <c r="E186" s="13">
        <v>27476</v>
      </c>
      <c r="F186" s="14">
        <v>29188076.98</v>
      </c>
      <c r="G186" s="12">
        <v>4.96</v>
      </c>
      <c r="H186" s="12">
        <v>54.96</v>
      </c>
      <c r="I186" s="12">
        <v>34.619999999999997</v>
      </c>
      <c r="J186" s="12">
        <v>228.07</v>
      </c>
      <c r="K186" s="12">
        <v>69.239999999999995</v>
      </c>
      <c r="L186" s="15" t="s">
        <v>21</v>
      </c>
    </row>
    <row r="187" spans="1:12" x14ac:dyDescent="0.25">
      <c r="A187" s="16">
        <v>2020</v>
      </c>
      <c r="B187" s="17" t="s">
        <v>12</v>
      </c>
      <c r="C187" s="17" t="s">
        <v>32</v>
      </c>
      <c r="D187" s="17" t="s">
        <v>24</v>
      </c>
      <c r="E187" s="18">
        <v>25491</v>
      </c>
      <c r="F187" s="19">
        <v>13470114.800000001</v>
      </c>
      <c r="G187" s="17">
        <v>6.6</v>
      </c>
      <c r="H187" s="17">
        <v>70</v>
      </c>
      <c r="I187" s="17">
        <v>41.55</v>
      </c>
      <c r="J187" s="17">
        <v>54.56</v>
      </c>
      <c r="K187" s="17">
        <v>66.45</v>
      </c>
      <c r="L187" s="20" t="s">
        <v>19</v>
      </c>
    </row>
    <row r="188" spans="1:12" x14ac:dyDescent="0.25">
      <c r="A188" s="11">
        <v>2020</v>
      </c>
      <c r="B188" s="12" t="s">
        <v>12</v>
      </c>
      <c r="C188" s="12" t="s">
        <v>33</v>
      </c>
      <c r="D188" s="12" t="s">
        <v>24</v>
      </c>
      <c r="E188" s="13">
        <v>57319</v>
      </c>
      <c r="F188" s="14">
        <v>64038833.049999997</v>
      </c>
      <c r="G188" s="12">
        <v>5.25</v>
      </c>
      <c r="H188" s="12">
        <v>98.77</v>
      </c>
      <c r="I188" s="12">
        <v>44.44</v>
      </c>
      <c r="J188" s="12">
        <v>187.76</v>
      </c>
      <c r="K188" s="12">
        <v>51.45</v>
      </c>
      <c r="L188" s="15" t="s">
        <v>21</v>
      </c>
    </row>
    <row r="189" spans="1:12" x14ac:dyDescent="0.25">
      <c r="A189" s="16">
        <v>2020</v>
      </c>
      <c r="B189" s="17" t="s">
        <v>12</v>
      </c>
      <c r="C189" s="17" t="s">
        <v>34</v>
      </c>
      <c r="D189" s="17" t="s">
        <v>24</v>
      </c>
      <c r="E189" s="18">
        <v>53118</v>
      </c>
      <c r="F189" s="19">
        <v>71564619.920000002</v>
      </c>
      <c r="G189" s="17">
        <v>4.21</v>
      </c>
      <c r="H189" s="17">
        <v>103.57</v>
      </c>
      <c r="I189" s="17">
        <v>52.17</v>
      </c>
      <c r="J189" s="17">
        <v>120.41</v>
      </c>
      <c r="K189" s="17">
        <v>76.81</v>
      </c>
      <c r="L189" s="20" t="s">
        <v>21</v>
      </c>
    </row>
    <row r="190" spans="1:12" x14ac:dyDescent="0.25">
      <c r="A190" s="11">
        <v>2020</v>
      </c>
      <c r="B190" s="12" t="s">
        <v>35</v>
      </c>
      <c r="C190" s="12" t="s">
        <v>13</v>
      </c>
      <c r="D190" s="12" t="s">
        <v>14</v>
      </c>
      <c r="E190" s="13">
        <v>21197</v>
      </c>
      <c r="F190" s="14">
        <v>22480526.16</v>
      </c>
      <c r="G190" s="12">
        <v>1.84</v>
      </c>
      <c r="H190" s="12">
        <v>39.26</v>
      </c>
      <c r="I190" s="12">
        <v>10.62</v>
      </c>
      <c r="J190" s="12">
        <v>193.23</v>
      </c>
      <c r="K190" s="12">
        <v>38.5</v>
      </c>
      <c r="L190" s="15" t="s">
        <v>17</v>
      </c>
    </row>
    <row r="191" spans="1:12" x14ac:dyDescent="0.25">
      <c r="A191" s="16">
        <v>2020</v>
      </c>
      <c r="B191" s="17" t="s">
        <v>35</v>
      </c>
      <c r="C191" s="17" t="s">
        <v>16</v>
      </c>
      <c r="D191" s="17" t="s">
        <v>14</v>
      </c>
      <c r="E191" s="18">
        <v>8785</v>
      </c>
      <c r="F191" s="19">
        <v>16339172.24</v>
      </c>
      <c r="G191" s="17">
        <v>-0.36</v>
      </c>
      <c r="H191" s="17">
        <v>50.5</v>
      </c>
      <c r="I191" s="17">
        <v>16.16</v>
      </c>
      <c r="J191" s="17">
        <v>96.06</v>
      </c>
      <c r="K191" s="17">
        <v>70.489999999999995</v>
      </c>
      <c r="L191" s="20" t="s">
        <v>27</v>
      </c>
    </row>
    <row r="192" spans="1:12" x14ac:dyDescent="0.25">
      <c r="A192" s="11">
        <v>2020</v>
      </c>
      <c r="B192" s="12" t="s">
        <v>35</v>
      </c>
      <c r="C192" s="12" t="s">
        <v>18</v>
      </c>
      <c r="D192" s="12" t="s">
        <v>14</v>
      </c>
      <c r="E192" s="13">
        <v>43775</v>
      </c>
      <c r="F192" s="14">
        <v>10852645.859999999</v>
      </c>
      <c r="G192" s="12">
        <v>2.71</v>
      </c>
      <c r="H192" s="12">
        <v>42.03</v>
      </c>
      <c r="I192" s="12">
        <v>29.43</v>
      </c>
      <c r="J192" s="12">
        <v>282.82</v>
      </c>
      <c r="K192" s="12">
        <v>64.08</v>
      </c>
      <c r="L192" s="15" t="s">
        <v>27</v>
      </c>
    </row>
    <row r="193" spans="1:12" x14ac:dyDescent="0.25">
      <c r="A193" s="16">
        <v>2020</v>
      </c>
      <c r="B193" s="17" t="s">
        <v>35</v>
      </c>
      <c r="C193" s="17" t="s">
        <v>20</v>
      </c>
      <c r="D193" s="17" t="s">
        <v>14</v>
      </c>
      <c r="E193" s="18">
        <v>29178</v>
      </c>
      <c r="F193" s="19">
        <v>41803911.049999997</v>
      </c>
      <c r="G193" s="17">
        <v>2.59</v>
      </c>
      <c r="H193" s="17">
        <v>47.84</v>
      </c>
      <c r="I193" s="17">
        <v>16.52</v>
      </c>
      <c r="J193" s="17">
        <v>134.32</v>
      </c>
      <c r="K193" s="17">
        <v>74.930000000000007</v>
      </c>
      <c r="L193" s="20" t="s">
        <v>17</v>
      </c>
    </row>
    <row r="194" spans="1:12" x14ac:dyDescent="0.25">
      <c r="A194" s="11">
        <v>2020</v>
      </c>
      <c r="B194" s="12" t="s">
        <v>35</v>
      </c>
      <c r="C194" s="12" t="s">
        <v>22</v>
      </c>
      <c r="D194" s="12" t="s">
        <v>14</v>
      </c>
      <c r="E194" s="13">
        <v>8601</v>
      </c>
      <c r="F194" s="14">
        <v>32922566.239999998</v>
      </c>
      <c r="G194" s="12">
        <v>2.99</v>
      </c>
      <c r="H194" s="12">
        <v>82.16</v>
      </c>
      <c r="I194" s="12">
        <v>47.56</v>
      </c>
      <c r="J194" s="12">
        <v>139.41999999999999</v>
      </c>
      <c r="K194" s="12">
        <v>52.96</v>
      </c>
      <c r="L194" s="15" t="s">
        <v>15</v>
      </c>
    </row>
    <row r="195" spans="1:12" x14ac:dyDescent="0.25">
      <c r="A195" s="16">
        <v>2020</v>
      </c>
      <c r="B195" s="17" t="s">
        <v>35</v>
      </c>
      <c r="C195" s="17" t="s">
        <v>23</v>
      </c>
      <c r="D195" s="17" t="s">
        <v>24</v>
      </c>
      <c r="E195" s="18">
        <v>51214</v>
      </c>
      <c r="F195" s="19">
        <v>22604101.449999999</v>
      </c>
      <c r="G195" s="17">
        <v>3.88</v>
      </c>
      <c r="H195" s="17">
        <v>98.74</v>
      </c>
      <c r="I195" s="17">
        <v>29.87</v>
      </c>
      <c r="J195" s="17">
        <v>153.44999999999999</v>
      </c>
      <c r="K195" s="17">
        <v>54.94</v>
      </c>
      <c r="L195" s="20" t="s">
        <v>21</v>
      </c>
    </row>
    <row r="196" spans="1:12" x14ac:dyDescent="0.25">
      <c r="A196" s="11">
        <v>2020</v>
      </c>
      <c r="B196" s="12" t="s">
        <v>35</v>
      </c>
      <c r="C196" s="12" t="s">
        <v>25</v>
      </c>
      <c r="D196" s="12" t="s">
        <v>24</v>
      </c>
      <c r="E196" s="13">
        <v>58086</v>
      </c>
      <c r="F196" s="14">
        <v>50254952.18</v>
      </c>
      <c r="G196" s="12">
        <v>6.19</v>
      </c>
      <c r="H196" s="12">
        <v>46.93</v>
      </c>
      <c r="I196" s="12">
        <v>40.93</v>
      </c>
      <c r="J196" s="12">
        <v>130.68</v>
      </c>
      <c r="K196" s="12">
        <v>54.46</v>
      </c>
      <c r="L196" s="15" t="s">
        <v>27</v>
      </c>
    </row>
    <row r="197" spans="1:12" x14ac:dyDescent="0.25">
      <c r="A197" s="16">
        <v>2020</v>
      </c>
      <c r="B197" s="17" t="s">
        <v>35</v>
      </c>
      <c r="C197" s="17" t="s">
        <v>26</v>
      </c>
      <c r="D197" s="17" t="s">
        <v>24</v>
      </c>
      <c r="E197" s="18">
        <v>63974</v>
      </c>
      <c r="F197" s="19">
        <v>66783552.340000004</v>
      </c>
      <c r="G197" s="17">
        <v>4.99</v>
      </c>
      <c r="H197" s="17">
        <v>43.38</v>
      </c>
      <c r="I197" s="17">
        <v>39.44</v>
      </c>
      <c r="J197" s="17">
        <v>264.14999999999998</v>
      </c>
      <c r="K197" s="17">
        <v>79.22</v>
      </c>
      <c r="L197" s="20" t="s">
        <v>19</v>
      </c>
    </row>
    <row r="198" spans="1:12" x14ac:dyDescent="0.25">
      <c r="A198" s="11">
        <v>2020</v>
      </c>
      <c r="B198" s="12" t="s">
        <v>35</v>
      </c>
      <c r="C198" s="12" t="s">
        <v>28</v>
      </c>
      <c r="D198" s="12" t="s">
        <v>24</v>
      </c>
      <c r="E198" s="13">
        <v>47829</v>
      </c>
      <c r="F198" s="14">
        <v>6077295.0480000004</v>
      </c>
      <c r="G198" s="12">
        <v>3.59</v>
      </c>
      <c r="H198" s="12">
        <v>88.79</v>
      </c>
      <c r="I198" s="12">
        <v>32.57</v>
      </c>
      <c r="J198" s="12">
        <v>175.9</v>
      </c>
      <c r="K198" s="12">
        <v>45.25</v>
      </c>
      <c r="L198" s="15" t="s">
        <v>21</v>
      </c>
    </row>
    <row r="199" spans="1:12" x14ac:dyDescent="0.25">
      <c r="A199" s="16">
        <v>2020</v>
      </c>
      <c r="B199" s="17" t="s">
        <v>35</v>
      </c>
      <c r="C199" s="17" t="s">
        <v>29</v>
      </c>
      <c r="D199" s="17" t="s">
        <v>24</v>
      </c>
      <c r="E199" s="18">
        <v>41163</v>
      </c>
      <c r="F199" s="19">
        <v>19005446.109999999</v>
      </c>
      <c r="G199" s="17">
        <v>4.79</v>
      </c>
      <c r="H199" s="17">
        <v>51.77</v>
      </c>
      <c r="I199" s="17">
        <v>44.26</v>
      </c>
      <c r="J199" s="17">
        <v>210.86</v>
      </c>
      <c r="K199" s="17">
        <v>88.02</v>
      </c>
      <c r="L199" s="20" t="s">
        <v>27</v>
      </c>
    </row>
    <row r="200" spans="1:12" x14ac:dyDescent="0.25">
      <c r="A200" s="11">
        <v>2020</v>
      </c>
      <c r="B200" s="12" t="s">
        <v>35</v>
      </c>
      <c r="C200" s="12" t="s">
        <v>30</v>
      </c>
      <c r="D200" s="12" t="s">
        <v>24</v>
      </c>
      <c r="E200" s="13">
        <v>27381</v>
      </c>
      <c r="F200" s="14">
        <v>65294982.829999998</v>
      </c>
      <c r="G200" s="12">
        <v>2.65</v>
      </c>
      <c r="H200" s="12">
        <v>62.02</v>
      </c>
      <c r="I200" s="12">
        <v>25.37</v>
      </c>
      <c r="J200" s="12">
        <v>130.24</v>
      </c>
      <c r="K200" s="12">
        <v>86.46</v>
      </c>
      <c r="L200" s="15" t="s">
        <v>21</v>
      </c>
    </row>
    <row r="201" spans="1:12" x14ac:dyDescent="0.25">
      <c r="A201" s="16">
        <v>2020</v>
      </c>
      <c r="B201" s="17" t="s">
        <v>35</v>
      </c>
      <c r="C201" s="17" t="s">
        <v>31</v>
      </c>
      <c r="D201" s="17" t="s">
        <v>24</v>
      </c>
      <c r="E201" s="18">
        <v>61462</v>
      </c>
      <c r="F201" s="19">
        <v>55137531.491999902</v>
      </c>
      <c r="G201" s="17">
        <v>5.7799999999999896</v>
      </c>
      <c r="H201" s="17">
        <v>89.44</v>
      </c>
      <c r="I201" s="17">
        <v>51.04</v>
      </c>
      <c r="J201" s="17">
        <v>280.82</v>
      </c>
      <c r="K201" s="17">
        <v>85.04</v>
      </c>
      <c r="L201" s="20" t="s">
        <v>17</v>
      </c>
    </row>
    <row r="202" spans="1:12" x14ac:dyDescent="0.25">
      <c r="A202" s="11">
        <v>2020</v>
      </c>
      <c r="B202" s="12" t="s">
        <v>35</v>
      </c>
      <c r="C202" s="12" t="s">
        <v>32</v>
      </c>
      <c r="D202" s="12" t="s">
        <v>24</v>
      </c>
      <c r="E202" s="13">
        <v>10455</v>
      </c>
      <c r="F202" s="14">
        <v>27982805.100000001</v>
      </c>
      <c r="G202" s="12">
        <v>6.83</v>
      </c>
      <c r="H202" s="12">
        <v>69.099999999999994</v>
      </c>
      <c r="I202" s="12">
        <v>10.39</v>
      </c>
      <c r="J202" s="12">
        <v>105.02</v>
      </c>
      <c r="K202" s="12">
        <v>75.930000000000007</v>
      </c>
      <c r="L202" s="15" t="s">
        <v>17</v>
      </c>
    </row>
    <row r="203" spans="1:12" x14ac:dyDescent="0.25">
      <c r="A203" s="16">
        <v>2020</v>
      </c>
      <c r="B203" s="17" t="s">
        <v>35</v>
      </c>
      <c r="C203" s="17" t="s">
        <v>33</v>
      </c>
      <c r="D203" s="17" t="s">
        <v>24</v>
      </c>
      <c r="E203" s="18">
        <v>53896</v>
      </c>
      <c r="F203" s="19">
        <v>47982928.727999903</v>
      </c>
      <c r="G203" s="17">
        <v>3.17</v>
      </c>
      <c r="H203" s="17">
        <v>75.16</v>
      </c>
      <c r="I203" s="17">
        <v>22.74</v>
      </c>
      <c r="J203" s="17">
        <v>92.93</v>
      </c>
      <c r="K203" s="17">
        <v>86.89</v>
      </c>
      <c r="L203" s="20" t="s">
        <v>17</v>
      </c>
    </row>
    <row r="204" spans="1:12" x14ac:dyDescent="0.25">
      <c r="A204" s="11">
        <v>2020</v>
      </c>
      <c r="B204" s="12" t="s">
        <v>35</v>
      </c>
      <c r="C204" s="12" t="s">
        <v>34</v>
      </c>
      <c r="D204" s="12" t="s">
        <v>24</v>
      </c>
      <c r="E204" s="13">
        <v>47830</v>
      </c>
      <c r="F204" s="14">
        <v>79207664.340000004</v>
      </c>
      <c r="G204" s="12">
        <v>3.46</v>
      </c>
      <c r="H204" s="12">
        <v>58.97</v>
      </c>
      <c r="I204" s="12">
        <v>52.43</v>
      </c>
      <c r="J204" s="12">
        <v>236.28</v>
      </c>
      <c r="K204" s="12">
        <v>50.08</v>
      </c>
      <c r="L204" s="15" t="s">
        <v>15</v>
      </c>
    </row>
    <row r="205" spans="1:12" x14ac:dyDescent="0.25">
      <c r="A205" s="16">
        <v>2020</v>
      </c>
      <c r="B205" s="17" t="s">
        <v>36</v>
      </c>
      <c r="C205" s="17" t="s">
        <v>13</v>
      </c>
      <c r="D205" s="17" t="s">
        <v>14</v>
      </c>
      <c r="E205" s="18">
        <v>27328</v>
      </c>
      <c r="F205" s="19">
        <v>31739575.949999999</v>
      </c>
      <c r="G205" s="17">
        <v>-0.42</v>
      </c>
      <c r="H205" s="17">
        <v>68.61</v>
      </c>
      <c r="I205" s="17">
        <v>19.37</v>
      </c>
      <c r="J205" s="17">
        <v>57.25</v>
      </c>
      <c r="K205" s="17">
        <v>41.31</v>
      </c>
      <c r="L205" s="20" t="s">
        <v>19</v>
      </c>
    </row>
    <row r="206" spans="1:12" x14ac:dyDescent="0.25">
      <c r="A206" s="11">
        <v>2020</v>
      </c>
      <c r="B206" s="12" t="s">
        <v>36</v>
      </c>
      <c r="C206" s="12" t="s">
        <v>16</v>
      </c>
      <c r="D206" s="12" t="s">
        <v>14</v>
      </c>
      <c r="E206" s="13">
        <v>38772</v>
      </c>
      <c r="F206" s="14">
        <v>27841226.879999999</v>
      </c>
      <c r="G206" s="12">
        <v>3.48</v>
      </c>
      <c r="H206" s="12">
        <v>60.92</v>
      </c>
      <c r="I206" s="12">
        <v>27.62</v>
      </c>
      <c r="J206" s="12">
        <v>136.07</v>
      </c>
      <c r="K206" s="12">
        <v>84.47</v>
      </c>
      <c r="L206" s="15" t="s">
        <v>27</v>
      </c>
    </row>
    <row r="207" spans="1:12" x14ac:dyDescent="0.25">
      <c r="A207" s="16">
        <v>2020</v>
      </c>
      <c r="B207" s="17" t="s">
        <v>36</v>
      </c>
      <c r="C207" s="17" t="s">
        <v>18</v>
      </c>
      <c r="D207" s="17" t="s">
        <v>14</v>
      </c>
      <c r="E207" s="18">
        <v>7511</v>
      </c>
      <c r="F207" s="19">
        <v>31385211.280000001</v>
      </c>
      <c r="G207" s="17">
        <v>1.48</v>
      </c>
      <c r="H207" s="17">
        <v>60</v>
      </c>
      <c r="I207" s="17">
        <v>1.68</v>
      </c>
      <c r="J207" s="17">
        <v>52.52</v>
      </c>
      <c r="K207" s="17">
        <v>85.45</v>
      </c>
      <c r="L207" s="20" t="s">
        <v>21</v>
      </c>
    </row>
    <row r="208" spans="1:12" x14ac:dyDescent="0.25">
      <c r="A208" s="11">
        <v>2020</v>
      </c>
      <c r="B208" s="12" t="s">
        <v>36</v>
      </c>
      <c r="C208" s="12" t="s">
        <v>20</v>
      </c>
      <c r="D208" s="12" t="s">
        <v>14</v>
      </c>
      <c r="E208" s="13">
        <v>16212</v>
      </c>
      <c r="F208" s="14">
        <v>59842662.149999999</v>
      </c>
      <c r="G208" s="12">
        <v>0.36</v>
      </c>
      <c r="H208" s="12">
        <v>81.98</v>
      </c>
      <c r="I208" s="12">
        <v>6.72</v>
      </c>
      <c r="J208" s="12">
        <v>59.98</v>
      </c>
      <c r="K208" s="12">
        <v>45.43</v>
      </c>
      <c r="L208" s="15" t="s">
        <v>19</v>
      </c>
    </row>
    <row r="209" spans="1:12" x14ac:dyDescent="0.25">
      <c r="A209" s="16">
        <v>2020</v>
      </c>
      <c r="B209" s="17" t="s">
        <v>36</v>
      </c>
      <c r="C209" s="17" t="s">
        <v>22</v>
      </c>
      <c r="D209" s="17" t="s">
        <v>14</v>
      </c>
      <c r="E209" s="18">
        <v>44767</v>
      </c>
      <c r="F209" s="19">
        <v>6397386.2189999996</v>
      </c>
      <c r="G209" s="17">
        <v>2.66</v>
      </c>
      <c r="H209" s="17">
        <v>65.67</v>
      </c>
      <c r="I209" s="17">
        <v>24.92</v>
      </c>
      <c r="J209" s="17">
        <v>94.9</v>
      </c>
      <c r="K209" s="17">
        <v>53.63</v>
      </c>
      <c r="L209" s="20" t="s">
        <v>19</v>
      </c>
    </row>
    <row r="210" spans="1:12" x14ac:dyDescent="0.25">
      <c r="A210" s="11">
        <v>2020</v>
      </c>
      <c r="B210" s="12" t="s">
        <v>36</v>
      </c>
      <c r="C210" s="12" t="s">
        <v>23</v>
      </c>
      <c r="D210" s="12" t="s">
        <v>24</v>
      </c>
      <c r="E210" s="13">
        <v>29628</v>
      </c>
      <c r="F210" s="14">
        <v>50812407.275999904</v>
      </c>
      <c r="G210" s="12">
        <v>5.1099999999999897</v>
      </c>
      <c r="H210" s="12">
        <v>88.32</v>
      </c>
      <c r="I210" s="12">
        <v>13.49</v>
      </c>
      <c r="J210" s="12">
        <v>66.69</v>
      </c>
      <c r="K210" s="12">
        <v>63.04</v>
      </c>
      <c r="L210" s="15" t="s">
        <v>15</v>
      </c>
    </row>
    <row r="211" spans="1:12" x14ac:dyDescent="0.25">
      <c r="A211" s="16">
        <v>2020</v>
      </c>
      <c r="B211" s="17" t="s">
        <v>36</v>
      </c>
      <c r="C211" s="17" t="s">
        <v>25</v>
      </c>
      <c r="D211" s="17" t="s">
        <v>24</v>
      </c>
      <c r="E211" s="18">
        <v>63137</v>
      </c>
      <c r="F211" s="19">
        <v>23567297.829999998</v>
      </c>
      <c r="G211" s="17">
        <v>4.79</v>
      </c>
      <c r="H211" s="17">
        <v>66.150000000000006</v>
      </c>
      <c r="I211" s="17">
        <v>49.64</v>
      </c>
      <c r="J211" s="17">
        <v>94.47</v>
      </c>
      <c r="K211" s="17">
        <v>82.6</v>
      </c>
      <c r="L211" s="20" t="s">
        <v>21</v>
      </c>
    </row>
    <row r="212" spans="1:12" x14ac:dyDescent="0.25">
      <c r="A212" s="11">
        <v>2020</v>
      </c>
      <c r="B212" s="12" t="s">
        <v>36</v>
      </c>
      <c r="C212" s="12" t="s">
        <v>26</v>
      </c>
      <c r="D212" s="12" t="s">
        <v>24</v>
      </c>
      <c r="E212" s="13">
        <v>56115</v>
      </c>
      <c r="F212" s="14">
        <v>16158944.449999999</v>
      </c>
      <c r="G212" s="12">
        <v>6.22</v>
      </c>
      <c r="H212" s="12">
        <v>91.44</v>
      </c>
      <c r="I212" s="12">
        <v>29.96</v>
      </c>
      <c r="J212" s="12">
        <v>193.54</v>
      </c>
      <c r="K212" s="12">
        <v>89.31</v>
      </c>
      <c r="L212" s="15" t="s">
        <v>27</v>
      </c>
    </row>
    <row r="213" spans="1:12" x14ac:dyDescent="0.25">
      <c r="A213" s="16">
        <v>2020</v>
      </c>
      <c r="B213" s="17" t="s">
        <v>36</v>
      </c>
      <c r="C213" s="17" t="s">
        <v>28</v>
      </c>
      <c r="D213" s="17" t="s">
        <v>24</v>
      </c>
      <c r="E213" s="18">
        <v>33872</v>
      </c>
      <c r="F213" s="19">
        <v>60050676.799999997</v>
      </c>
      <c r="G213" s="17">
        <v>2.94</v>
      </c>
      <c r="H213" s="17">
        <v>88.63</v>
      </c>
      <c r="I213" s="17">
        <v>27.11</v>
      </c>
      <c r="J213" s="17">
        <v>186.09</v>
      </c>
      <c r="K213" s="17">
        <v>61.17</v>
      </c>
      <c r="L213" s="20" t="s">
        <v>19</v>
      </c>
    </row>
    <row r="214" spans="1:12" x14ac:dyDescent="0.25">
      <c r="A214" s="11">
        <v>2020</v>
      </c>
      <c r="B214" s="12" t="s">
        <v>36</v>
      </c>
      <c r="C214" s="12" t="s">
        <v>29</v>
      </c>
      <c r="D214" s="12" t="s">
        <v>24</v>
      </c>
      <c r="E214" s="13">
        <v>56598</v>
      </c>
      <c r="F214" s="14">
        <v>9650777.5319999997</v>
      </c>
      <c r="G214" s="12">
        <v>6.61</v>
      </c>
      <c r="H214" s="12">
        <v>77.650000000000006</v>
      </c>
      <c r="I214" s="12">
        <v>26.15</v>
      </c>
      <c r="J214" s="12">
        <v>69.040000000000006</v>
      </c>
      <c r="K214" s="12">
        <v>88.7</v>
      </c>
      <c r="L214" s="15" t="s">
        <v>17</v>
      </c>
    </row>
    <row r="215" spans="1:12" x14ac:dyDescent="0.25">
      <c r="A215" s="16">
        <v>2020</v>
      </c>
      <c r="B215" s="17" t="s">
        <v>36</v>
      </c>
      <c r="C215" s="17" t="s">
        <v>30</v>
      </c>
      <c r="D215" s="17" t="s">
        <v>24</v>
      </c>
      <c r="E215" s="18">
        <v>8082</v>
      </c>
      <c r="F215" s="19">
        <v>53518254.119999997</v>
      </c>
      <c r="G215" s="17">
        <v>3.35</v>
      </c>
      <c r="H215" s="17">
        <v>102.49</v>
      </c>
      <c r="I215" s="17">
        <v>49.53</v>
      </c>
      <c r="J215" s="17">
        <v>289.41000000000003</v>
      </c>
      <c r="K215" s="17">
        <v>93.02</v>
      </c>
      <c r="L215" s="20" t="s">
        <v>27</v>
      </c>
    </row>
    <row r="216" spans="1:12" x14ac:dyDescent="0.25">
      <c r="A216" s="11">
        <v>2020</v>
      </c>
      <c r="B216" s="12" t="s">
        <v>36</v>
      </c>
      <c r="C216" s="12" t="s">
        <v>31</v>
      </c>
      <c r="D216" s="12" t="s">
        <v>24</v>
      </c>
      <c r="E216" s="13">
        <v>53108</v>
      </c>
      <c r="F216" s="14">
        <v>8982957.7799999993</v>
      </c>
      <c r="G216" s="12">
        <v>6.02</v>
      </c>
      <c r="H216" s="12">
        <v>47.8</v>
      </c>
      <c r="I216" s="12">
        <v>32.450000000000003</v>
      </c>
      <c r="J216" s="12">
        <v>100.39</v>
      </c>
      <c r="K216" s="12">
        <v>59.44</v>
      </c>
      <c r="L216" s="15" t="s">
        <v>17</v>
      </c>
    </row>
    <row r="217" spans="1:12" x14ac:dyDescent="0.25">
      <c r="A217" s="16">
        <v>2020</v>
      </c>
      <c r="B217" s="17" t="s">
        <v>36</v>
      </c>
      <c r="C217" s="17" t="s">
        <v>32</v>
      </c>
      <c r="D217" s="17" t="s">
        <v>24</v>
      </c>
      <c r="E217" s="18">
        <v>42820</v>
      </c>
      <c r="F217" s="19">
        <v>5518854.45599999</v>
      </c>
      <c r="G217" s="17">
        <v>6.58</v>
      </c>
      <c r="H217" s="17">
        <v>41.01</v>
      </c>
      <c r="I217" s="17">
        <v>18.12</v>
      </c>
      <c r="J217" s="17">
        <v>169.67</v>
      </c>
      <c r="K217" s="17">
        <v>79.56</v>
      </c>
      <c r="L217" s="20" t="s">
        <v>27</v>
      </c>
    </row>
    <row r="218" spans="1:12" x14ac:dyDescent="0.25">
      <c r="A218" s="11">
        <v>2020</v>
      </c>
      <c r="B218" s="12" t="s">
        <v>36</v>
      </c>
      <c r="C218" s="12" t="s">
        <v>33</v>
      </c>
      <c r="D218" s="12" t="s">
        <v>24</v>
      </c>
      <c r="E218" s="13">
        <v>55164</v>
      </c>
      <c r="F218" s="14">
        <v>9027240.9240000006</v>
      </c>
      <c r="G218" s="12">
        <v>4.7699999999999996</v>
      </c>
      <c r="H218" s="12">
        <v>48.66</v>
      </c>
      <c r="I218" s="12">
        <v>29.6</v>
      </c>
      <c r="J218" s="12">
        <v>94.48</v>
      </c>
      <c r="K218" s="12">
        <v>55.85</v>
      </c>
      <c r="L218" s="15" t="s">
        <v>27</v>
      </c>
    </row>
    <row r="219" spans="1:12" x14ac:dyDescent="0.25">
      <c r="A219" s="16">
        <v>2020</v>
      </c>
      <c r="B219" s="17" t="s">
        <v>36</v>
      </c>
      <c r="C219" s="17" t="s">
        <v>34</v>
      </c>
      <c r="D219" s="17" t="s">
        <v>24</v>
      </c>
      <c r="E219" s="18">
        <v>12993</v>
      </c>
      <c r="F219" s="19">
        <v>7444019.2560000001</v>
      </c>
      <c r="G219" s="17">
        <v>3.67</v>
      </c>
      <c r="H219" s="17">
        <v>53.23</v>
      </c>
      <c r="I219" s="17">
        <v>49.96</v>
      </c>
      <c r="J219" s="17">
        <v>236.45</v>
      </c>
      <c r="K219" s="17">
        <v>87.73</v>
      </c>
      <c r="L219" s="20" t="s">
        <v>21</v>
      </c>
    </row>
    <row r="220" spans="1:12" x14ac:dyDescent="0.25">
      <c r="A220" s="11">
        <v>2020</v>
      </c>
      <c r="B220" s="12" t="s">
        <v>37</v>
      </c>
      <c r="C220" s="12" t="s">
        <v>13</v>
      </c>
      <c r="D220" s="12" t="s">
        <v>14</v>
      </c>
      <c r="E220" s="13">
        <v>49522</v>
      </c>
      <c r="F220" s="14">
        <v>13749933.390000001</v>
      </c>
      <c r="G220" s="12">
        <v>0.73</v>
      </c>
      <c r="H220" s="12">
        <v>68.38</v>
      </c>
      <c r="I220" s="12">
        <v>46.89</v>
      </c>
      <c r="J220" s="12">
        <v>221.54</v>
      </c>
      <c r="K220" s="12">
        <v>67.28</v>
      </c>
      <c r="L220" s="15" t="s">
        <v>21</v>
      </c>
    </row>
    <row r="221" spans="1:12" x14ac:dyDescent="0.25">
      <c r="A221" s="16">
        <v>2020</v>
      </c>
      <c r="B221" s="17" t="s">
        <v>37</v>
      </c>
      <c r="C221" s="17" t="s">
        <v>16</v>
      </c>
      <c r="D221" s="17" t="s">
        <v>14</v>
      </c>
      <c r="E221" s="18">
        <v>35672</v>
      </c>
      <c r="F221" s="19">
        <v>43822054.960000001</v>
      </c>
      <c r="G221" s="17">
        <v>0.84</v>
      </c>
      <c r="H221" s="17">
        <v>44.22</v>
      </c>
      <c r="I221" s="17">
        <v>46.9</v>
      </c>
      <c r="J221" s="17">
        <v>285.05</v>
      </c>
      <c r="K221" s="17">
        <v>50.09</v>
      </c>
      <c r="L221" s="20" t="s">
        <v>15</v>
      </c>
    </row>
    <row r="222" spans="1:12" x14ac:dyDescent="0.25">
      <c r="A222" s="11">
        <v>2020</v>
      </c>
      <c r="B222" s="12" t="s">
        <v>37</v>
      </c>
      <c r="C222" s="12" t="s">
        <v>18</v>
      </c>
      <c r="D222" s="12" t="s">
        <v>14</v>
      </c>
      <c r="E222" s="13">
        <v>23896</v>
      </c>
      <c r="F222" s="14">
        <v>18747121.280000001</v>
      </c>
      <c r="G222" s="12">
        <v>-0.49</v>
      </c>
      <c r="H222" s="12">
        <v>32.090000000000003</v>
      </c>
      <c r="I222" s="12">
        <v>10.83</v>
      </c>
      <c r="J222" s="12">
        <v>225.49</v>
      </c>
      <c r="K222" s="12">
        <v>56.78</v>
      </c>
      <c r="L222" s="15" t="s">
        <v>19</v>
      </c>
    </row>
    <row r="223" spans="1:12" x14ac:dyDescent="0.25">
      <c r="A223" s="16">
        <v>2020</v>
      </c>
      <c r="B223" s="17" t="s">
        <v>37</v>
      </c>
      <c r="C223" s="17" t="s">
        <v>20</v>
      </c>
      <c r="D223" s="17" t="s">
        <v>14</v>
      </c>
      <c r="E223" s="18">
        <v>7473</v>
      </c>
      <c r="F223" s="19">
        <v>19621770.609999999</v>
      </c>
      <c r="G223" s="17">
        <v>3.88</v>
      </c>
      <c r="H223" s="17">
        <v>74.66</v>
      </c>
      <c r="I223" s="17">
        <v>27.55</v>
      </c>
      <c r="J223" s="17">
        <v>177.22</v>
      </c>
      <c r="K223" s="17">
        <v>72.36</v>
      </c>
      <c r="L223" s="20" t="s">
        <v>21</v>
      </c>
    </row>
    <row r="224" spans="1:12" x14ac:dyDescent="0.25">
      <c r="A224" s="11">
        <v>2020</v>
      </c>
      <c r="B224" s="12" t="s">
        <v>37</v>
      </c>
      <c r="C224" s="12" t="s">
        <v>22</v>
      </c>
      <c r="D224" s="12" t="s">
        <v>14</v>
      </c>
      <c r="E224" s="13">
        <v>11913</v>
      </c>
      <c r="F224" s="14">
        <v>41627181.200000003</v>
      </c>
      <c r="G224" s="12">
        <v>-0.35</v>
      </c>
      <c r="H224" s="12">
        <v>64.459999999999994</v>
      </c>
      <c r="I224" s="12">
        <v>0.83999999999999897</v>
      </c>
      <c r="J224" s="12">
        <v>155.16</v>
      </c>
      <c r="K224" s="12">
        <v>44.89</v>
      </c>
      <c r="L224" s="15" t="s">
        <v>17</v>
      </c>
    </row>
    <row r="225" spans="1:12" x14ac:dyDescent="0.25">
      <c r="A225" s="16">
        <v>2020</v>
      </c>
      <c r="B225" s="17" t="s">
        <v>37</v>
      </c>
      <c r="C225" s="17" t="s">
        <v>23</v>
      </c>
      <c r="D225" s="17" t="s">
        <v>24</v>
      </c>
      <c r="E225" s="18">
        <v>39692</v>
      </c>
      <c r="F225" s="19">
        <v>34859771.57</v>
      </c>
      <c r="G225" s="17">
        <v>6.62</v>
      </c>
      <c r="H225" s="17">
        <v>87.81</v>
      </c>
      <c r="I225" s="17">
        <v>39.64</v>
      </c>
      <c r="J225" s="17">
        <v>189.6</v>
      </c>
      <c r="K225" s="17">
        <v>62.18</v>
      </c>
      <c r="L225" s="20" t="s">
        <v>15</v>
      </c>
    </row>
    <row r="226" spans="1:12" x14ac:dyDescent="0.25">
      <c r="A226" s="11">
        <v>2020</v>
      </c>
      <c r="B226" s="12" t="s">
        <v>37</v>
      </c>
      <c r="C226" s="12" t="s">
        <v>25</v>
      </c>
      <c r="D226" s="12" t="s">
        <v>24</v>
      </c>
      <c r="E226" s="13">
        <v>48805</v>
      </c>
      <c r="F226" s="14">
        <v>32349455.399999999</v>
      </c>
      <c r="G226" s="12">
        <v>4.42</v>
      </c>
      <c r="H226" s="12">
        <v>99.33</v>
      </c>
      <c r="I226" s="12">
        <v>33.79</v>
      </c>
      <c r="J226" s="12">
        <v>96.26</v>
      </c>
      <c r="K226" s="12">
        <v>57.17</v>
      </c>
      <c r="L226" s="15" t="s">
        <v>21</v>
      </c>
    </row>
    <row r="227" spans="1:12" x14ac:dyDescent="0.25">
      <c r="A227" s="16">
        <v>2020</v>
      </c>
      <c r="B227" s="17" t="s">
        <v>37</v>
      </c>
      <c r="C227" s="17" t="s">
        <v>26</v>
      </c>
      <c r="D227" s="17" t="s">
        <v>24</v>
      </c>
      <c r="E227" s="18">
        <v>8115</v>
      </c>
      <c r="F227" s="19">
        <v>44826833.530000001</v>
      </c>
      <c r="G227" s="17">
        <v>4.6500000000000004</v>
      </c>
      <c r="H227" s="17">
        <v>62.42</v>
      </c>
      <c r="I227" s="17">
        <v>41.52</v>
      </c>
      <c r="J227" s="17">
        <v>295.85000000000002</v>
      </c>
      <c r="K227" s="17">
        <v>48.71</v>
      </c>
      <c r="L227" s="20" t="s">
        <v>15</v>
      </c>
    </row>
    <row r="228" spans="1:12" x14ac:dyDescent="0.25">
      <c r="A228" s="11">
        <v>2020</v>
      </c>
      <c r="B228" s="12" t="s">
        <v>37</v>
      </c>
      <c r="C228" s="12" t="s">
        <v>28</v>
      </c>
      <c r="D228" s="12" t="s">
        <v>24</v>
      </c>
      <c r="E228" s="13">
        <v>52951</v>
      </c>
      <c r="F228" s="14">
        <v>13524137.65</v>
      </c>
      <c r="G228" s="12">
        <v>2.83</v>
      </c>
      <c r="H228" s="12">
        <v>73.069999999999993</v>
      </c>
      <c r="I228" s="12">
        <v>27.79</v>
      </c>
      <c r="J228" s="12">
        <v>52.85</v>
      </c>
      <c r="K228" s="12">
        <v>70.84</v>
      </c>
      <c r="L228" s="15" t="s">
        <v>27</v>
      </c>
    </row>
    <row r="229" spans="1:12" x14ac:dyDescent="0.25">
      <c r="A229" s="16">
        <v>2020</v>
      </c>
      <c r="B229" s="17" t="s">
        <v>37</v>
      </c>
      <c r="C229" s="17" t="s">
        <v>29</v>
      </c>
      <c r="D229" s="17" t="s">
        <v>24</v>
      </c>
      <c r="E229" s="18">
        <v>40353</v>
      </c>
      <c r="F229" s="19">
        <v>16476389.24</v>
      </c>
      <c r="G229" s="17">
        <v>3.06</v>
      </c>
      <c r="H229" s="17">
        <v>46.41</v>
      </c>
      <c r="I229" s="17">
        <v>21.11</v>
      </c>
      <c r="J229" s="17">
        <v>194.98</v>
      </c>
      <c r="K229" s="17">
        <v>54.61</v>
      </c>
      <c r="L229" s="20" t="s">
        <v>19</v>
      </c>
    </row>
    <row r="230" spans="1:12" x14ac:dyDescent="0.25">
      <c r="A230" s="11">
        <v>2020</v>
      </c>
      <c r="B230" s="12" t="s">
        <v>37</v>
      </c>
      <c r="C230" s="12" t="s">
        <v>30</v>
      </c>
      <c r="D230" s="12" t="s">
        <v>24</v>
      </c>
      <c r="E230" s="13">
        <v>26015</v>
      </c>
      <c r="F230" s="14">
        <v>13548942.4439999</v>
      </c>
      <c r="G230" s="12">
        <v>5.19</v>
      </c>
      <c r="H230" s="12">
        <v>92.87</v>
      </c>
      <c r="I230" s="12">
        <v>45.67</v>
      </c>
      <c r="J230" s="12">
        <v>248.52</v>
      </c>
      <c r="K230" s="12">
        <v>85.87</v>
      </c>
      <c r="L230" s="15" t="s">
        <v>21</v>
      </c>
    </row>
    <row r="231" spans="1:12" x14ac:dyDescent="0.25">
      <c r="A231" s="16">
        <v>2020</v>
      </c>
      <c r="B231" s="17" t="s">
        <v>37</v>
      </c>
      <c r="C231" s="17" t="s">
        <v>31</v>
      </c>
      <c r="D231" s="17" t="s">
        <v>24</v>
      </c>
      <c r="E231" s="18">
        <v>11163</v>
      </c>
      <c r="F231" s="19">
        <v>12032304.635999899</v>
      </c>
      <c r="G231" s="17">
        <v>3.84</v>
      </c>
      <c r="H231" s="17">
        <v>40.71</v>
      </c>
      <c r="I231" s="17">
        <v>45.09</v>
      </c>
      <c r="J231" s="17">
        <v>122.22</v>
      </c>
      <c r="K231" s="17">
        <v>83.63</v>
      </c>
      <c r="L231" s="20" t="s">
        <v>21</v>
      </c>
    </row>
    <row r="232" spans="1:12" x14ac:dyDescent="0.25">
      <c r="A232" s="11">
        <v>2020</v>
      </c>
      <c r="B232" s="12" t="s">
        <v>37</v>
      </c>
      <c r="C232" s="12" t="s">
        <v>32</v>
      </c>
      <c r="D232" s="12" t="s">
        <v>24</v>
      </c>
      <c r="E232" s="13">
        <v>36975</v>
      </c>
      <c r="F232" s="14">
        <v>33358884.739999998</v>
      </c>
      <c r="G232" s="12">
        <v>5.3599999999999897</v>
      </c>
      <c r="H232" s="12">
        <v>74.28</v>
      </c>
      <c r="I232" s="12">
        <v>33.57</v>
      </c>
      <c r="J232" s="12">
        <v>72.540000000000006</v>
      </c>
      <c r="K232" s="12">
        <v>57.77</v>
      </c>
      <c r="L232" s="15" t="s">
        <v>21</v>
      </c>
    </row>
    <row r="233" spans="1:12" x14ac:dyDescent="0.25">
      <c r="A233" s="16">
        <v>2020</v>
      </c>
      <c r="B233" s="17" t="s">
        <v>37</v>
      </c>
      <c r="C233" s="17" t="s">
        <v>33</v>
      </c>
      <c r="D233" s="17" t="s">
        <v>24</v>
      </c>
      <c r="E233" s="18">
        <v>28163</v>
      </c>
      <c r="F233" s="19">
        <v>76740547.760000005</v>
      </c>
      <c r="G233" s="17">
        <v>6.5</v>
      </c>
      <c r="H233" s="17">
        <v>49.19</v>
      </c>
      <c r="I233" s="17">
        <v>23.05</v>
      </c>
      <c r="J233" s="17">
        <v>154.41999999999999</v>
      </c>
      <c r="K233" s="17">
        <v>78.77</v>
      </c>
      <c r="L233" s="20" t="s">
        <v>17</v>
      </c>
    </row>
    <row r="234" spans="1:12" x14ac:dyDescent="0.25">
      <c r="A234" s="11">
        <v>2020</v>
      </c>
      <c r="B234" s="12" t="s">
        <v>37</v>
      </c>
      <c r="C234" s="12" t="s">
        <v>34</v>
      </c>
      <c r="D234" s="12" t="s">
        <v>24</v>
      </c>
      <c r="E234" s="13">
        <v>49246</v>
      </c>
      <c r="F234" s="14">
        <v>5030391.84</v>
      </c>
      <c r="G234" s="12">
        <v>6.07</v>
      </c>
      <c r="H234" s="12">
        <v>51.07</v>
      </c>
      <c r="I234" s="12">
        <v>47.75</v>
      </c>
      <c r="J234" s="12">
        <v>137.41999999999999</v>
      </c>
      <c r="K234" s="12">
        <v>71.5</v>
      </c>
      <c r="L234" s="15" t="s">
        <v>19</v>
      </c>
    </row>
    <row r="235" spans="1:12" x14ac:dyDescent="0.25">
      <c r="A235" s="16">
        <v>2020</v>
      </c>
      <c r="B235" s="17" t="s">
        <v>12</v>
      </c>
      <c r="C235" s="17" t="s">
        <v>13</v>
      </c>
      <c r="D235" s="17" t="s">
        <v>14</v>
      </c>
      <c r="E235" s="18">
        <v>17825</v>
      </c>
      <c r="F235" s="19">
        <v>37347187.770000003</v>
      </c>
      <c r="G235" s="17">
        <v>0.159999999999999</v>
      </c>
      <c r="H235" s="17">
        <v>62.97</v>
      </c>
      <c r="I235" s="17">
        <v>26.44</v>
      </c>
      <c r="J235" s="17">
        <v>245.48</v>
      </c>
      <c r="K235" s="17">
        <v>75.23</v>
      </c>
      <c r="L235" s="20" t="s">
        <v>27</v>
      </c>
    </row>
    <row r="236" spans="1:12" x14ac:dyDescent="0.25">
      <c r="A236" s="11">
        <v>2020</v>
      </c>
      <c r="B236" s="12" t="s">
        <v>12</v>
      </c>
      <c r="C236" s="12" t="s">
        <v>16</v>
      </c>
      <c r="D236" s="12" t="s">
        <v>14</v>
      </c>
      <c r="E236" s="13">
        <v>21472</v>
      </c>
      <c r="F236" s="14">
        <v>34965645.310000002</v>
      </c>
      <c r="G236" s="12">
        <v>0.25</v>
      </c>
      <c r="H236" s="12">
        <v>49.22</v>
      </c>
      <c r="I236" s="12">
        <v>24.99</v>
      </c>
      <c r="J236" s="12">
        <v>247.01</v>
      </c>
      <c r="K236" s="12">
        <v>80.17</v>
      </c>
      <c r="L236" s="15" t="s">
        <v>17</v>
      </c>
    </row>
    <row r="237" spans="1:12" x14ac:dyDescent="0.25">
      <c r="A237" s="16">
        <v>2020</v>
      </c>
      <c r="B237" s="17" t="s">
        <v>12</v>
      </c>
      <c r="C237" s="17" t="s">
        <v>18</v>
      </c>
      <c r="D237" s="17" t="s">
        <v>14</v>
      </c>
      <c r="E237" s="18">
        <v>35641</v>
      </c>
      <c r="F237" s="19">
        <v>48775290.390000001</v>
      </c>
      <c r="G237" s="17">
        <v>3.88</v>
      </c>
      <c r="H237" s="17">
        <v>60.51</v>
      </c>
      <c r="I237" s="17">
        <v>6.1</v>
      </c>
      <c r="J237" s="17">
        <v>196.59</v>
      </c>
      <c r="K237" s="17">
        <v>78.94</v>
      </c>
      <c r="L237" s="20" t="s">
        <v>21</v>
      </c>
    </row>
    <row r="238" spans="1:12" x14ac:dyDescent="0.25">
      <c r="A238" s="11">
        <v>2020</v>
      </c>
      <c r="B238" s="12" t="s">
        <v>12</v>
      </c>
      <c r="C238" s="12" t="s">
        <v>20</v>
      </c>
      <c r="D238" s="12" t="s">
        <v>14</v>
      </c>
      <c r="E238" s="13">
        <v>18960</v>
      </c>
      <c r="F238" s="14">
        <v>25972084.140000001</v>
      </c>
      <c r="G238" s="12">
        <v>0.53</v>
      </c>
      <c r="H238" s="12">
        <v>72.69</v>
      </c>
      <c r="I238" s="12">
        <v>26.51</v>
      </c>
      <c r="J238" s="12">
        <v>157.1</v>
      </c>
      <c r="K238" s="12">
        <v>53.68</v>
      </c>
      <c r="L238" s="15" t="s">
        <v>17</v>
      </c>
    </row>
    <row r="239" spans="1:12" x14ac:dyDescent="0.25">
      <c r="A239" s="16">
        <v>2020</v>
      </c>
      <c r="B239" s="17" t="s">
        <v>12</v>
      </c>
      <c r="C239" s="17" t="s">
        <v>22</v>
      </c>
      <c r="D239" s="17" t="s">
        <v>14</v>
      </c>
      <c r="E239" s="18">
        <v>18546</v>
      </c>
      <c r="F239" s="19">
        <v>42315159.990000002</v>
      </c>
      <c r="G239" s="17">
        <v>1.81</v>
      </c>
      <c r="H239" s="17">
        <v>58.09</v>
      </c>
      <c r="I239" s="17">
        <v>33.08</v>
      </c>
      <c r="J239" s="17">
        <v>110.9</v>
      </c>
      <c r="K239" s="17">
        <v>49.63</v>
      </c>
      <c r="L239" s="20" t="s">
        <v>17</v>
      </c>
    </row>
    <row r="240" spans="1:12" x14ac:dyDescent="0.25">
      <c r="A240" s="11">
        <v>2020</v>
      </c>
      <c r="B240" s="12" t="s">
        <v>12</v>
      </c>
      <c r="C240" s="12" t="s">
        <v>23</v>
      </c>
      <c r="D240" s="12" t="s">
        <v>24</v>
      </c>
      <c r="E240" s="13">
        <v>42883</v>
      </c>
      <c r="F240" s="14">
        <v>18588730.370000001</v>
      </c>
      <c r="G240" s="12">
        <v>6.37</v>
      </c>
      <c r="H240" s="12">
        <v>72.87</v>
      </c>
      <c r="I240" s="12">
        <v>45.86</v>
      </c>
      <c r="J240" s="12">
        <v>273.58999999999997</v>
      </c>
      <c r="K240" s="12">
        <v>52.9</v>
      </c>
      <c r="L240" s="15" t="s">
        <v>15</v>
      </c>
    </row>
    <row r="241" spans="1:12" x14ac:dyDescent="0.25">
      <c r="A241" s="16">
        <v>2020</v>
      </c>
      <c r="B241" s="17" t="s">
        <v>12</v>
      </c>
      <c r="C241" s="17" t="s">
        <v>25</v>
      </c>
      <c r="D241" s="17" t="s">
        <v>24</v>
      </c>
      <c r="E241" s="18">
        <v>49662</v>
      </c>
      <c r="F241" s="19">
        <v>52134225.079999998</v>
      </c>
      <c r="G241" s="17">
        <v>2.9</v>
      </c>
      <c r="H241" s="17">
        <v>96.42</v>
      </c>
      <c r="I241" s="17">
        <v>52.2</v>
      </c>
      <c r="J241" s="17">
        <v>187.23</v>
      </c>
      <c r="K241" s="17">
        <v>76.5</v>
      </c>
      <c r="L241" s="20" t="s">
        <v>19</v>
      </c>
    </row>
    <row r="242" spans="1:12" x14ac:dyDescent="0.25">
      <c r="A242" s="11">
        <v>2020</v>
      </c>
      <c r="B242" s="12" t="s">
        <v>12</v>
      </c>
      <c r="C242" s="12" t="s">
        <v>26</v>
      </c>
      <c r="D242" s="12" t="s">
        <v>24</v>
      </c>
      <c r="E242" s="13">
        <v>48484</v>
      </c>
      <c r="F242" s="14">
        <v>10752134.16</v>
      </c>
      <c r="G242" s="12">
        <v>3.75</v>
      </c>
      <c r="H242" s="12">
        <v>41.49</v>
      </c>
      <c r="I242" s="12">
        <v>10.67</v>
      </c>
      <c r="J242" s="12">
        <v>87.88</v>
      </c>
      <c r="K242" s="12">
        <v>79.09</v>
      </c>
      <c r="L242" s="15" t="s">
        <v>19</v>
      </c>
    </row>
    <row r="243" spans="1:12" x14ac:dyDescent="0.25">
      <c r="A243" s="16">
        <v>2020</v>
      </c>
      <c r="B243" s="17" t="s">
        <v>12</v>
      </c>
      <c r="C243" s="17" t="s">
        <v>28</v>
      </c>
      <c r="D243" s="17" t="s">
        <v>24</v>
      </c>
      <c r="E243" s="18">
        <v>11438</v>
      </c>
      <c r="F243" s="19">
        <v>56002244.289999999</v>
      </c>
      <c r="G243" s="17">
        <v>6.33</v>
      </c>
      <c r="H243" s="17">
        <v>93.95</v>
      </c>
      <c r="I243" s="17">
        <v>52.02</v>
      </c>
      <c r="J243" s="17">
        <v>168.24</v>
      </c>
      <c r="K243" s="17">
        <v>63.04</v>
      </c>
      <c r="L243" s="20" t="s">
        <v>15</v>
      </c>
    </row>
    <row r="244" spans="1:12" x14ac:dyDescent="0.25">
      <c r="A244" s="11">
        <v>2020</v>
      </c>
      <c r="B244" s="12" t="s">
        <v>12</v>
      </c>
      <c r="C244" s="12" t="s">
        <v>29</v>
      </c>
      <c r="D244" s="12" t="s">
        <v>24</v>
      </c>
      <c r="E244" s="13">
        <v>58199</v>
      </c>
      <c r="F244" s="14">
        <v>35481161.409999996</v>
      </c>
      <c r="G244" s="12">
        <v>5.66</v>
      </c>
      <c r="H244" s="12">
        <v>42.96</v>
      </c>
      <c r="I244" s="12">
        <v>27.95</v>
      </c>
      <c r="J244" s="12">
        <v>151.66</v>
      </c>
      <c r="K244" s="12">
        <v>52.29</v>
      </c>
      <c r="L244" s="15" t="s">
        <v>17</v>
      </c>
    </row>
    <row r="245" spans="1:12" x14ac:dyDescent="0.25">
      <c r="A245" s="16">
        <v>2020</v>
      </c>
      <c r="B245" s="17" t="s">
        <v>12</v>
      </c>
      <c r="C245" s="17" t="s">
        <v>30</v>
      </c>
      <c r="D245" s="17" t="s">
        <v>24</v>
      </c>
      <c r="E245" s="18">
        <v>40807</v>
      </c>
      <c r="F245" s="19">
        <v>28409469.32</v>
      </c>
      <c r="G245" s="17">
        <v>3.04</v>
      </c>
      <c r="H245" s="17">
        <v>47.56</v>
      </c>
      <c r="I245" s="17">
        <v>33.590000000000003</v>
      </c>
      <c r="J245" s="17">
        <v>95.38</v>
      </c>
      <c r="K245" s="17">
        <v>57.91</v>
      </c>
      <c r="L245" s="20" t="s">
        <v>17</v>
      </c>
    </row>
    <row r="246" spans="1:12" x14ac:dyDescent="0.25">
      <c r="A246" s="11">
        <v>2020</v>
      </c>
      <c r="B246" s="12" t="s">
        <v>12</v>
      </c>
      <c r="C246" s="12" t="s">
        <v>31</v>
      </c>
      <c r="D246" s="12" t="s">
        <v>24</v>
      </c>
      <c r="E246" s="13">
        <v>27476</v>
      </c>
      <c r="F246" s="14">
        <v>29188076.98</v>
      </c>
      <c r="G246" s="12">
        <v>4.96</v>
      </c>
      <c r="H246" s="12">
        <v>54.96</v>
      </c>
      <c r="I246" s="12">
        <v>34.619999999999997</v>
      </c>
      <c r="J246" s="12">
        <v>228.07</v>
      </c>
      <c r="K246" s="12">
        <v>69.239999999999995</v>
      </c>
      <c r="L246" s="15" t="s">
        <v>21</v>
      </c>
    </row>
    <row r="247" spans="1:12" x14ac:dyDescent="0.25">
      <c r="A247" s="16">
        <v>2020</v>
      </c>
      <c r="B247" s="17" t="s">
        <v>12</v>
      </c>
      <c r="C247" s="17" t="s">
        <v>32</v>
      </c>
      <c r="D247" s="17" t="s">
        <v>24</v>
      </c>
      <c r="E247" s="18">
        <v>25491</v>
      </c>
      <c r="F247" s="19">
        <v>13470114.800000001</v>
      </c>
      <c r="G247" s="17">
        <v>6.6</v>
      </c>
      <c r="H247" s="17">
        <v>70</v>
      </c>
      <c r="I247" s="17">
        <v>41.55</v>
      </c>
      <c r="J247" s="17">
        <v>54.56</v>
      </c>
      <c r="K247" s="17">
        <v>66.45</v>
      </c>
      <c r="L247" s="20" t="s">
        <v>19</v>
      </c>
    </row>
    <row r="248" spans="1:12" x14ac:dyDescent="0.25">
      <c r="A248" s="11">
        <v>2020</v>
      </c>
      <c r="B248" s="12" t="s">
        <v>12</v>
      </c>
      <c r="C248" s="12" t="s">
        <v>33</v>
      </c>
      <c r="D248" s="12" t="s">
        <v>24</v>
      </c>
      <c r="E248" s="13">
        <v>57319</v>
      </c>
      <c r="F248" s="14">
        <v>64038833.049999997</v>
      </c>
      <c r="G248" s="12">
        <v>5.25</v>
      </c>
      <c r="H248" s="12">
        <v>98.77</v>
      </c>
      <c r="I248" s="12">
        <v>44.44</v>
      </c>
      <c r="J248" s="12">
        <v>187.76</v>
      </c>
      <c r="K248" s="12">
        <v>51.45</v>
      </c>
      <c r="L248" s="15" t="s">
        <v>21</v>
      </c>
    </row>
    <row r="249" spans="1:12" x14ac:dyDescent="0.25">
      <c r="A249" s="16">
        <v>2020</v>
      </c>
      <c r="B249" s="17" t="s">
        <v>12</v>
      </c>
      <c r="C249" s="17" t="s">
        <v>34</v>
      </c>
      <c r="D249" s="17" t="s">
        <v>24</v>
      </c>
      <c r="E249" s="18">
        <v>53118</v>
      </c>
      <c r="F249" s="19">
        <v>71564619.920000002</v>
      </c>
      <c r="G249" s="17">
        <v>4.21</v>
      </c>
      <c r="H249" s="17">
        <v>103.57</v>
      </c>
      <c r="I249" s="17">
        <v>52.17</v>
      </c>
      <c r="J249" s="17">
        <v>120.41</v>
      </c>
      <c r="K249" s="17">
        <v>76.81</v>
      </c>
      <c r="L249" s="20" t="s">
        <v>21</v>
      </c>
    </row>
    <row r="250" spans="1:12" x14ac:dyDescent="0.25">
      <c r="A250" s="11">
        <v>2020</v>
      </c>
      <c r="B250" s="12" t="s">
        <v>35</v>
      </c>
      <c r="C250" s="12" t="s">
        <v>13</v>
      </c>
      <c r="D250" s="12" t="s">
        <v>14</v>
      </c>
      <c r="E250" s="13">
        <v>21197</v>
      </c>
      <c r="F250" s="14">
        <v>22480526.16</v>
      </c>
      <c r="G250" s="12">
        <v>1.84</v>
      </c>
      <c r="H250" s="12">
        <v>39.26</v>
      </c>
      <c r="I250" s="12">
        <v>10.62</v>
      </c>
      <c r="J250" s="12">
        <v>193.23</v>
      </c>
      <c r="K250" s="12">
        <v>38.5</v>
      </c>
      <c r="L250" s="15" t="s">
        <v>17</v>
      </c>
    </row>
    <row r="251" spans="1:12" x14ac:dyDescent="0.25">
      <c r="A251" s="16">
        <v>2020</v>
      </c>
      <c r="B251" s="17" t="s">
        <v>35</v>
      </c>
      <c r="C251" s="17" t="s">
        <v>16</v>
      </c>
      <c r="D251" s="17" t="s">
        <v>14</v>
      </c>
      <c r="E251" s="18">
        <v>8785</v>
      </c>
      <c r="F251" s="19">
        <v>16339172.24</v>
      </c>
      <c r="G251" s="17">
        <v>-0.36</v>
      </c>
      <c r="H251" s="17">
        <v>50.5</v>
      </c>
      <c r="I251" s="17">
        <v>16.16</v>
      </c>
      <c r="J251" s="17">
        <v>96.06</v>
      </c>
      <c r="K251" s="17">
        <v>70.489999999999995</v>
      </c>
      <c r="L251" s="20" t="s">
        <v>27</v>
      </c>
    </row>
    <row r="252" spans="1:12" x14ac:dyDescent="0.25">
      <c r="A252" s="11">
        <v>2020</v>
      </c>
      <c r="B252" s="12" t="s">
        <v>35</v>
      </c>
      <c r="C252" s="12" t="s">
        <v>18</v>
      </c>
      <c r="D252" s="12" t="s">
        <v>14</v>
      </c>
      <c r="E252" s="13">
        <v>43775</v>
      </c>
      <c r="F252" s="14">
        <v>10852645.859999999</v>
      </c>
      <c r="G252" s="12">
        <v>2.71</v>
      </c>
      <c r="H252" s="12">
        <v>42.03</v>
      </c>
      <c r="I252" s="12">
        <v>29.43</v>
      </c>
      <c r="J252" s="12">
        <v>282.82</v>
      </c>
      <c r="K252" s="12">
        <v>64.08</v>
      </c>
      <c r="L252" s="15" t="s">
        <v>27</v>
      </c>
    </row>
    <row r="253" spans="1:12" x14ac:dyDescent="0.25">
      <c r="A253" s="16">
        <v>2020</v>
      </c>
      <c r="B253" s="17" t="s">
        <v>35</v>
      </c>
      <c r="C253" s="17" t="s">
        <v>20</v>
      </c>
      <c r="D253" s="17" t="s">
        <v>14</v>
      </c>
      <c r="E253" s="18">
        <v>29178</v>
      </c>
      <c r="F253" s="19">
        <v>41803911.049999997</v>
      </c>
      <c r="G253" s="17">
        <v>2.59</v>
      </c>
      <c r="H253" s="17">
        <v>47.84</v>
      </c>
      <c r="I253" s="17">
        <v>16.52</v>
      </c>
      <c r="J253" s="17">
        <v>134.32</v>
      </c>
      <c r="K253" s="17">
        <v>74.930000000000007</v>
      </c>
      <c r="L253" s="20" t="s">
        <v>17</v>
      </c>
    </row>
    <row r="254" spans="1:12" x14ac:dyDescent="0.25">
      <c r="A254" s="11">
        <v>2020</v>
      </c>
      <c r="B254" s="12" t="s">
        <v>35</v>
      </c>
      <c r="C254" s="12" t="s">
        <v>22</v>
      </c>
      <c r="D254" s="12" t="s">
        <v>14</v>
      </c>
      <c r="E254" s="13">
        <v>8601</v>
      </c>
      <c r="F254" s="14">
        <v>32922566.239999998</v>
      </c>
      <c r="G254" s="12">
        <v>2.99</v>
      </c>
      <c r="H254" s="12">
        <v>82.16</v>
      </c>
      <c r="I254" s="12">
        <v>47.56</v>
      </c>
      <c r="J254" s="12">
        <v>139.41999999999999</v>
      </c>
      <c r="K254" s="12">
        <v>52.96</v>
      </c>
      <c r="L254" s="15" t="s">
        <v>15</v>
      </c>
    </row>
    <row r="255" spans="1:12" x14ac:dyDescent="0.25">
      <c r="A255" s="16">
        <v>2020</v>
      </c>
      <c r="B255" s="17" t="s">
        <v>35</v>
      </c>
      <c r="C255" s="17" t="s">
        <v>23</v>
      </c>
      <c r="D255" s="17" t="s">
        <v>24</v>
      </c>
      <c r="E255" s="18">
        <v>51214</v>
      </c>
      <c r="F255" s="19">
        <v>22604101.449999999</v>
      </c>
      <c r="G255" s="17">
        <v>3.88</v>
      </c>
      <c r="H255" s="17">
        <v>98.74</v>
      </c>
      <c r="I255" s="17">
        <v>29.87</v>
      </c>
      <c r="J255" s="17">
        <v>153.44999999999999</v>
      </c>
      <c r="K255" s="17">
        <v>54.94</v>
      </c>
      <c r="L255" s="20" t="s">
        <v>21</v>
      </c>
    </row>
    <row r="256" spans="1:12" x14ac:dyDescent="0.25">
      <c r="A256" s="11">
        <v>2020</v>
      </c>
      <c r="B256" s="12" t="s">
        <v>35</v>
      </c>
      <c r="C256" s="12" t="s">
        <v>25</v>
      </c>
      <c r="D256" s="12" t="s">
        <v>24</v>
      </c>
      <c r="E256" s="13">
        <v>58086</v>
      </c>
      <c r="F256" s="14">
        <v>50254952.18</v>
      </c>
      <c r="G256" s="12">
        <v>6.19</v>
      </c>
      <c r="H256" s="12">
        <v>46.93</v>
      </c>
      <c r="I256" s="12">
        <v>40.93</v>
      </c>
      <c r="J256" s="12">
        <v>130.68</v>
      </c>
      <c r="K256" s="12">
        <v>54.46</v>
      </c>
      <c r="L256" s="15" t="s">
        <v>27</v>
      </c>
    </row>
    <row r="257" spans="1:12" x14ac:dyDescent="0.25">
      <c r="A257" s="16">
        <v>2020</v>
      </c>
      <c r="B257" s="17" t="s">
        <v>35</v>
      </c>
      <c r="C257" s="17" t="s">
        <v>26</v>
      </c>
      <c r="D257" s="17" t="s">
        <v>24</v>
      </c>
      <c r="E257" s="18">
        <v>63974</v>
      </c>
      <c r="F257" s="19">
        <v>66783552.340000004</v>
      </c>
      <c r="G257" s="17">
        <v>4.99</v>
      </c>
      <c r="H257" s="17">
        <v>43.38</v>
      </c>
      <c r="I257" s="17">
        <v>39.44</v>
      </c>
      <c r="J257" s="17">
        <v>264.14999999999998</v>
      </c>
      <c r="K257" s="17">
        <v>79.22</v>
      </c>
      <c r="L257" s="20" t="s">
        <v>19</v>
      </c>
    </row>
    <row r="258" spans="1:12" x14ac:dyDescent="0.25">
      <c r="A258" s="11">
        <v>2020</v>
      </c>
      <c r="B258" s="12" t="s">
        <v>35</v>
      </c>
      <c r="C258" s="12" t="s">
        <v>28</v>
      </c>
      <c r="D258" s="12" t="s">
        <v>24</v>
      </c>
      <c r="E258" s="13">
        <v>47829</v>
      </c>
      <c r="F258" s="14">
        <v>6077295.0480000004</v>
      </c>
      <c r="G258" s="12">
        <v>3.59</v>
      </c>
      <c r="H258" s="12">
        <v>88.79</v>
      </c>
      <c r="I258" s="12">
        <v>32.57</v>
      </c>
      <c r="J258" s="12">
        <v>175.9</v>
      </c>
      <c r="K258" s="12">
        <v>45.25</v>
      </c>
      <c r="L258" s="15" t="s">
        <v>21</v>
      </c>
    </row>
    <row r="259" spans="1:12" x14ac:dyDescent="0.25">
      <c r="A259" s="16">
        <v>2020</v>
      </c>
      <c r="B259" s="17" t="s">
        <v>35</v>
      </c>
      <c r="C259" s="17" t="s">
        <v>29</v>
      </c>
      <c r="D259" s="17" t="s">
        <v>24</v>
      </c>
      <c r="E259" s="18">
        <v>41163</v>
      </c>
      <c r="F259" s="19">
        <v>19005446.109999999</v>
      </c>
      <c r="G259" s="17">
        <v>4.79</v>
      </c>
      <c r="H259" s="17">
        <v>51.77</v>
      </c>
      <c r="I259" s="17">
        <v>44.26</v>
      </c>
      <c r="J259" s="17">
        <v>210.86</v>
      </c>
      <c r="K259" s="17">
        <v>88.02</v>
      </c>
      <c r="L259" s="20" t="s">
        <v>27</v>
      </c>
    </row>
    <row r="260" spans="1:12" x14ac:dyDescent="0.25">
      <c r="A260" s="11">
        <v>2020</v>
      </c>
      <c r="B260" s="12" t="s">
        <v>35</v>
      </c>
      <c r="C260" s="12" t="s">
        <v>30</v>
      </c>
      <c r="D260" s="12" t="s">
        <v>24</v>
      </c>
      <c r="E260" s="13">
        <v>27381</v>
      </c>
      <c r="F260" s="14">
        <v>65294982.829999998</v>
      </c>
      <c r="G260" s="12">
        <v>2.65</v>
      </c>
      <c r="H260" s="12">
        <v>62.02</v>
      </c>
      <c r="I260" s="12">
        <v>25.37</v>
      </c>
      <c r="J260" s="12">
        <v>130.24</v>
      </c>
      <c r="K260" s="12">
        <v>86.46</v>
      </c>
      <c r="L260" s="15" t="s">
        <v>21</v>
      </c>
    </row>
    <row r="261" spans="1:12" x14ac:dyDescent="0.25">
      <c r="A261" s="16">
        <v>2020</v>
      </c>
      <c r="B261" s="17" t="s">
        <v>35</v>
      </c>
      <c r="C261" s="17" t="s">
        <v>31</v>
      </c>
      <c r="D261" s="17" t="s">
        <v>24</v>
      </c>
      <c r="E261" s="18">
        <v>61462</v>
      </c>
      <c r="F261" s="19">
        <v>55137531.491999902</v>
      </c>
      <c r="G261" s="17">
        <v>5.7799999999999896</v>
      </c>
      <c r="H261" s="17">
        <v>89.44</v>
      </c>
      <c r="I261" s="17">
        <v>51.04</v>
      </c>
      <c r="J261" s="17">
        <v>280.82</v>
      </c>
      <c r="K261" s="17">
        <v>85.04</v>
      </c>
      <c r="L261" s="20" t="s">
        <v>17</v>
      </c>
    </row>
    <row r="262" spans="1:12" x14ac:dyDescent="0.25">
      <c r="A262" s="11">
        <v>2020</v>
      </c>
      <c r="B262" s="12" t="s">
        <v>35</v>
      </c>
      <c r="C262" s="12" t="s">
        <v>32</v>
      </c>
      <c r="D262" s="12" t="s">
        <v>24</v>
      </c>
      <c r="E262" s="13">
        <v>10455</v>
      </c>
      <c r="F262" s="14">
        <v>27982805.100000001</v>
      </c>
      <c r="G262" s="12">
        <v>6.83</v>
      </c>
      <c r="H262" s="12">
        <v>69.099999999999994</v>
      </c>
      <c r="I262" s="12">
        <v>10.39</v>
      </c>
      <c r="J262" s="12">
        <v>105.02</v>
      </c>
      <c r="K262" s="12">
        <v>75.930000000000007</v>
      </c>
      <c r="L262" s="15" t="s">
        <v>17</v>
      </c>
    </row>
    <row r="263" spans="1:12" x14ac:dyDescent="0.25">
      <c r="A263" s="16">
        <v>2020</v>
      </c>
      <c r="B263" s="17" t="s">
        <v>35</v>
      </c>
      <c r="C263" s="17" t="s">
        <v>33</v>
      </c>
      <c r="D263" s="17" t="s">
        <v>24</v>
      </c>
      <c r="E263" s="18">
        <v>53896</v>
      </c>
      <c r="F263" s="19">
        <v>47982928.727999903</v>
      </c>
      <c r="G263" s="17">
        <v>3.17</v>
      </c>
      <c r="H263" s="17">
        <v>75.16</v>
      </c>
      <c r="I263" s="17">
        <v>22.74</v>
      </c>
      <c r="J263" s="17">
        <v>92.93</v>
      </c>
      <c r="K263" s="17">
        <v>86.89</v>
      </c>
      <c r="L263" s="20" t="s">
        <v>17</v>
      </c>
    </row>
    <row r="264" spans="1:12" x14ac:dyDescent="0.25">
      <c r="A264" s="11">
        <v>2020</v>
      </c>
      <c r="B264" s="12" t="s">
        <v>35</v>
      </c>
      <c r="C264" s="12" t="s">
        <v>34</v>
      </c>
      <c r="D264" s="12" t="s">
        <v>24</v>
      </c>
      <c r="E264" s="13">
        <v>47830</v>
      </c>
      <c r="F264" s="14">
        <v>79207664.340000004</v>
      </c>
      <c r="G264" s="12">
        <v>3.46</v>
      </c>
      <c r="H264" s="12">
        <v>58.97</v>
      </c>
      <c r="I264" s="12">
        <v>52.43</v>
      </c>
      <c r="J264" s="12">
        <v>236.28</v>
      </c>
      <c r="K264" s="12">
        <v>50.08</v>
      </c>
      <c r="L264" s="15" t="s">
        <v>15</v>
      </c>
    </row>
    <row r="265" spans="1:12" x14ac:dyDescent="0.25">
      <c r="A265" s="16">
        <v>2020</v>
      </c>
      <c r="B265" s="17" t="s">
        <v>36</v>
      </c>
      <c r="C265" s="17" t="s">
        <v>13</v>
      </c>
      <c r="D265" s="17" t="s">
        <v>14</v>
      </c>
      <c r="E265" s="18">
        <v>27328</v>
      </c>
      <c r="F265" s="19">
        <v>31739575.949999999</v>
      </c>
      <c r="G265" s="17">
        <v>-0.42</v>
      </c>
      <c r="H265" s="17">
        <v>68.61</v>
      </c>
      <c r="I265" s="17">
        <v>19.37</v>
      </c>
      <c r="J265" s="17">
        <v>57.25</v>
      </c>
      <c r="K265" s="17">
        <v>41.31</v>
      </c>
      <c r="L265" s="20" t="s">
        <v>19</v>
      </c>
    </row>
    <row r="266" spans="1:12" x14ac:dyDescent="0.25">
      <c r="A266" s="11">
        <v>2020</v>
      </c>
      <c r="B266" s="12" t="s">
        <v>36</v>
      </c>
      <c r="C266" s="12" t="s">
        <v>16</v>
      </c>
      <c r="D266" s="12" t="s">
        <v>14</v>
      </c>
      <c r="E266" s="13">
        <v>38772</v>
      </c>
      <c r="F266" s="14">
        <v>27841226.879999999</v>
      </c>
      <c r="G266" s="12">
        <v>3.48</v>
      </c>
      <c r="H266" s="12">
        <v>60.92</v>
      </c>
      <c r="I266" s="12">
        <v>27.62</v>
      </c>
      <c r="J266" s="12">
        <v>136.07</v>
      </c>
      <c r="K266" s="12">
        <v>84.47</v>
      </c>
      <c r="L266" s="15" t="s">
        <v>27</v>
      </c>
    </row>
    <row r="267" spans="1:12" x14ac:dyDescent="0.25">
      <c r="A267" s="16">
        <v>2020</v>
      </c>
      <c r="B267" s="17" t="s">
        <v>36</v>
      </c>
      <c r="C267" s="17" t="s">
        <v>18</v>
      </c>
      <c r="D267" s="17" t="s">
        <v>14</v>
      </c>
      <c r="E267" s="18">
        <v>7511</v>
      </c>
      <c r="F267" s="19">
        <v>31385211.280000001</v>
      </c>
      <c r="G267" s="17">
        <v>1.48</v>
      </c>
      <c r="H267" s="17">
        <v>60</v>
      </c>
      <c r="I267" s="17">
        <v>1.68</v>
      </c>
      <c r="J267" s="17">
        <v>52.52</v>
      </c>
      <c r="K267" s="17">
        <v>85.45</v>
      </c>
      <c r="L267" s="20" t="s">
        <v>21</v>
      </c>
    </row>
    <row r="268" spans="1:12" x14ac:dyDescent="0.25">
      <c r="A268" s="11">
        <v>2020</v>
      </c>
      <c r="B268" s="12" t="s">
        <v>36</v>
      </c>
      <c r="C268" s="12" t="s">
        <v>20</v>
      </c>
      <c r="D268" s="12" t="s">
        <v>14</v>
      </c>
      <c r="E268" s="13">
        <v>16212</v>
      </c>
      <c r="F268" s="14">
        <v>59842662.149999999</v>
      </c>
      <c r="G268" s="12">
        <v>0.36</v>
      </c>
      <c r="H268" s="12">
        <v>81.98</v>
      </c>
      <c r="I268" s="12">
        <v>6.72</v>
      </c>
      <c r="J268" s="12">
        <v>59.98</v>
      </c>
      <c r="K268" s="12">
        <v>45.43</v>
      </c>
      <c r="L268" s="15" t="s">
        <v>19</v>
      </c>
    </row>
    <row r="269" spans="1:12" x14ac:dyDescent="0.25">
      <c r="A269" s="16">
        <v>2020</v>
      </c>
      <c r="B269" s="17" t="s">
        <v>36</v>
      </c>
      <c r="C269" s="17" t="s">
        <v>22</v>
      </c>
      <c r="D269" s="17" t="s">
        <v>14</v>
      </c>
      <c r="E269" s="18">
        <v>44767</v>
      </c>
      <c r="F269" s="19">
        <v>6397386.2189999996</v>
      </c>
      <c r="G269" s="17">
        <v>2.66</v>
      </c>
      <c r="H269" s="17">
        <v>65.67</v>
      </c>
      <c r="I269" s="17">
        <v>24.92</v>
      </c>
      <c r="J269" s="17">
        <v>94.9</v>
      </c>
      <c r="K269" s="17">
        <v>53.63</v>
      </c>
      <c r="L269" s="20" t="s">
        <v>19</v>
      </c>
    </row>
    <row r="270" spans="1:12" x14ac:dyDescent="0.25">
      <c r="A270" s="11">
        <v>2020</v>
      </c>
      <c r="B270" s="12" t="s">
        <v>36</v>
      </c>
      <c r="C270" s="12" t="s">
        <v>23</v>
      </c>
      <c r="D270" s="12" t="s">
        <v>24</v>
      </c>
      <c r="E270" s="13">
        <v>29628</v>
      </c>
      <c r="F270" s="14">
        <v>50812407.275999904</v>
      </c>
      <c r="G270" s="12">
        <v>5.1099999999999897</v>
      </c>
      <c r="H270" s="12">
        <v>88.32</v>
      </c>
      <c r="I270" s="12">
        <v>13.49</v>
      </c>
      <c r="J270" s="12">
        <v>66.69</v>
      </c>
      <c r="K270" s="12">
        <v>63.04</v>
      </c>
      <c r="L270" s="15" t="s">
        <v>15</v>
      </c>
    </row>
    <row r="271" spans="1:12" x14ac:dyDescent="0.25">
      <c r="A271" s="16">
        <v>2020</v>
      </c>
      <c r="B271" s="17" t="s">
        <v>36</v>
      </c>
      <c r="C271" s="17" t="s">
        <v>25</v>
      </c>
      <c r="D271" s="17" t="s">
        <v>24</v>
      </c>
      <c r="E271" s="18">
        <v>63137</v>
      </c>
      <c r="F271" s="19">
        <v>23567297.829999998</v>
      </c>
      <c r="G271" s="17">
        <v>4.79</v>
      </c>
      <c r="H271" s="17">
        <v>66.150000000000006</v>
      </c>
      <c r="I271" s="17">
        <v>49.64</v>
      </c>
      <c r="J271" s="17">
        <v>94.47</v>
      </c>
      <c r="K271" s="17">
        <v>82.6</v>
      </c>
      <c r="L271" s="20" t="s">
        <v>21</v>
      </c>
    </row>
    <row r="272" spans="1:12" x14ac:dyDescent="0.25">
      <c r="A272" s="11">
        <v>2020</v>
      </c>
      <c r="B272" s="12" t="s">
        <v>36</v>
      </c>
      <c r="C272" s="12" t="s">
        <v>26</v>
      </c>
      <c r="D272" s="12" t="s">
        <v>24</v>
      </c>
      <c r="E272" s="13">
        <v>56115</v>
      </c>
      <c r="F272" s="14">
        <v>16158944.449999999</v>
      </c>
      <c r="G272" s="12">
        <v>6.22</v>
      </c>
      <c r="H272" s="12">
        <v>91.44</v>
      </c>
      <c r="I272" s="12">
        <v>29.96</v>
      </c>
      <c r="J272" s="12">
        <v>193.54</v>
      </c>
      <c r="K272" s="12">
        <v>89.31</v>
      </c>
      <c r="L272" s="15" t="s">
        <v>27</v>
      </c>
    </row>
    <row r="273" spans="1:12" x14ac:dyDescent="0.25">
      <c r="A273" s="16">
        <v>2020</v>
      </c>
      <c r="B273" s="17" t="s">
        <v>36</v>
      </c>
      <c r="C273" s="17" t="s">
        <v>28</v>
      </c>
      <c r="D273" s="17" t="s">
        <v>24</v>
      </c>
      <c r="E273" s="18">
        <v>33872</v>
      </c>
      <c r="F273" s="19">
        <v>60050676.799999997</v>
      </c>
      <c r="G273" s="17">
        <v>2.94</v>
      </c>
      <c r="H273" s="17">
        <v>88.63</v>
      </c>
      <c r="I273" s="17">
        <v>27.11</v>
      </c>
      <c r="J273" s="17">
        <v>186.09</v>
      </c>
      <c r="K273" s="17">
        <v>61.17</v>
      </c>
      <c r="L273" s="20" t="s">
        <v>19</v>
      </c>
    </row>
    <row r="274" spans="1:12" x14ac:dyDescent="0.25">
      <c r="A274" s="11">
        <v>2020</v>
      </c>
      <c r="B274" s="12" t="s">
        <v>36</v>
      </c>
      <c r="C274" s="12" t="s">
        <v>29</v>
      </c>
      <c r="D274" s="12" t="s">
        <v>24</v>
      </c>
      <c r="E274" s="13">
        <v>56598</v>
      </c>
      <c r="F274" s="14">
        <v>9650777.5319999997</v>
      </c>
      <c r="G274" s="12">
        <v>6.61</v>
      </c>
      <c r="H274" s="12">
        <v>77.650000000000006</v>
      </c>
      <c r="I274" s="12">
        <v>26.15</v>
      </c>
      <c r="J274" s="12">
        <v>69.040000000000006</v>
      </c>
      <c r="K274" s="12">
        <v>88.7</v>
      </c>
      <c r="L274" s="15" t="s">
        <v>17</v>
      </c>
    </row>
    <row r="275" spans="1:12" x14ac:dyDescent="0.25">
      <c r="A275" s="16">
        <v>2020</v>
      </c>
      <c r="B275" s="17" t="s">
        <v>36</v>
      </c>
      <c r="C275" s="17" t="s">
        <v>30</v>
      </c>
      <c r="D275" s="17" t="s">
        <v>24</v>
      </c>
      <c r="E275" s="18">
        <v>8082</v>
      </c>
      <c r="F275" s="19">
        <v>53518254.119999997</v>
      </c>
      <c r="G275" s="17">
        <v>3.35</v>
      </c>
      <c r="H275" s="17">
        <v>102.49</v>
      </c>
      <c r="I275" s="17">
        <v>49.53</v>
      </c>
      <c r="J275" s="17">
        <v>289.41000000000003</v>
      </c>
      <c r="K275" s="17">
        <v>93.02</v>
      </c>
      <c r="L275" s="20" t="s">
        <v>27</v>
      </c>
    </row>
    <row r="276" spans="1:12" x14ac:dyDescent="0.25">
      <c r="A276" s="11">
        <v>2020</v>
      </c>
      <c r="B276" s="12" t="s">
        <v>36</v>
      </c>
      <c r="C276" s="12" t="s">
        <v>31</v>
      </c>
      <c r="D276" s="12" t="s">
        <v>24</v>
      </c>
      <c r="E276" s="13">
        <v>53108</v>
      </c>
      <c r="F276" s="14">
        <v>8982957.7799999993</v>
      </c>
      <c r="G276" s="12">
        <v>6.02</v>
      </c>
      <c r="H276" s="12">
        <v>47.8</v>
      </c>
      <c r="I276" s="12">
        <v>32.450000000000003</v>
      </c>
      <c r="J276" s="12">
        <v>100.39</v>
      </c>
      <c r="K276" s="12">
        <v>59.44</v>
      </c>
      <c r="L276" s="15" t="s">
        <v>17</v>
      </c>
    </row>
    <row r="277" spans="1:12" x14ac:dyDescent="0.25">
      <c r="A277" s="16">
        <v>2020</v>
      </c>
      <c r="B277" s="17" t="s">
        <v>36</v>
      </c>
      <c r="C277" s="17" t="s">
        <v>32</v>
      </c>
      <c r="D277" s="17" t="s">
        <v>24</v>
      </c>
      <c r="E277" s="18">
        <v>42820</v>
      </c>
      <c r="F277" s="19">
        <v>5518854.45599999</v>
      </c>
      <c r="G277" s="17">
        <v>6.58</v>
      </c>
      <c r="H277" s="17">
        <v>41.01</v>
      </c>
      <c r="I277" s="17">
        <v>18.12</v>
      </c>
      <c r="J277" s="17">
        <v>169.67</v>
      </c>
      <c r="K277" s="17">
        <v>79.56</v>
      </c>
      <c r="L277" s="20" t="s">
        <v>27</v>
      </c>
    </row>
    <row r="278" spans="1:12" x14ac:dyDescent="0.25">
      <c r="A278" s="11">
        <v>2020</v>
      </c>
      <c r="B278" s="12" t="s">
        <v>36</v>
      </c>
      <c r="C278" s="12" t="s">
        <v>33</v>
      </c>
      <c r="D278" s="12" t="s">
        <v>24</v>
      </c>
      <c r="E278" s="13">
        <v>55164</v>
      </c>
      <c r="F278" s="14">
        <v>9027240.9240000006</v>
      </c>
      <c r="G278" s="12">
        <v>4.7699999999999996</v>
      </c>
      <c r="H278" s="12">
        <v>48.66</v>
      </c>
      <c r="I278" s="12">
        <v>29.6</v>
      </c>
      <c r="J278" s="12">
        <v>94.48</v>
      </c>
      <c r="K278" s="12">
        <v>55.85</v>
      </c>
      <c r="L278" s="15" t="s">
        <v>27</v>
      </c>
    </row>
    <row r="279" spans="1:12" x14ac:dyDescent="0.25">
      <c r="A279" s="16">
        <v>2020</v>
      </c>
      <c r="B279" s="17" t="s">
        <v>36</v>
      </c>
      <c r="C279" s="17" t="s">
        <v>34</v>
      </c>
      <c r="D279" s="17" t="s">
        <v>24</v>
      </c>
      <c r="E279" s="18">
        <v>12993</v>
      </c>
      <c r="F279" s="19">
        <v>7444019.2560000001</v>
      </c>
      <c r="G279" s="17">
        <v>3.67</v>
      </c>
      <c r="H279" s="17">
        <v>53.23</v>
      </c>
      <c r="I279" s="17">
        <v>49.96</v>
      </c>
      <c r="J279" s="17">
        <v>236.45</v>
      </c>
      <c r="K279" s="17">
        <v>87.73</v>
      </c>
      <c r="L279" s="20" t="s">
        <v>21</v>
      </c>
    </row>
    <row r="280" spans="1:12" x14ac:dyDescent="0.25">
      <c r="A280" s="11">
        <v>2020</v>
      </c>
      <c r="B280" s="12" t="s">
        <v>37</v>
      </c>
      <c r="C280" s="12" t="s">
        <v>13</v>
      </c>
      <c r="D280" s="12" t="s">
        <v>14</v>
      </c>
      <c r="E280" s="13">
        <v>49522</v>
      </c>
      <c r="F280" s="14">
        <v>13749933.390000001</v>
      </c>
      <c r="G280" s="12">
        <v>0.73</v>
      </c>
      <c r="H280" s="12">
        <v>68.38</v>
      </c>
      <c r="I280" s="12">
        <v>46.89</v>
      </c>
      <c r="J280" s="12">
        <v>221.54</v>
      </c>
      <c r="K280" s="12">
        <v>67.28</v>
      </c>
      <c r="L280" s="15" t="s">
        <v>21</v>
      </c>
    </row>
    <row r="281" spans="1:12" x14ac:dyDescent="0.25">
      <c r="A281" s="16">
        <v>2020</v>
      </c>
      <c r="B281" s="17" t="s">
        <v>37</v>
      </c>
      <c r="C281" s="17" t="s">
        <v>16</v>
      </c>
      <c r="D281" s="17" t="s">
        <v>14</v>
      </c>
      <c r="E281" s="18">
        <v>35672</v>
      </c>
      <c r="F281" s="19">
        <v>43822054.960000001</v>
      </c>
      <c r="G281" s="17">
        <v>0.84</v>
      </c>
      <c r="H281" s="17">
        <v>44.22</v>
      </c>
      <c r="I281" s="17">
        <v>46.9</v>
      </c>
      <c r="J281" s="17">
        <v>285.05</v>
      </c>
      <c r="K281" s="17">
        <v>50.09</v>
      </c>
      <c r="L281" s="20" t="s">
        <v>15</v>
      </c>
    </row>
    <row r="282" spans="1:12" x14ac:dyDescent="0.25">
      <c r="A282" s="11">
        <v>2020</v>
      </c>
      <c r="B282" s="12" t="s">
        <v>37</v>
      </c>
      <c r="C282" s="12" t="s">
        <v>18</v>
      </c>
      <c r="D282" s="12" t="s">
        <v>14</v>
      </c>
      <c r="E282" s="13">
        <v>23896</v>
      </c>
      <c r="F282" s="14">
        <v>18747121.280000001</v>
      </c>
      <c r="G282" s="12">
        <v>-0.49</v>
      </c>
      <c r="H282" s="12">
        <v>32.090000000000003</v>
      </c>
      <c r="I282" s="12">
        <v>10.83</v>
      </c>
      <c r="J282" s="12">
        <v>225.49</v>
      </c>
      <c r="K282" s="12">
        <v>56.78</v>
      </c>
      <c r="L282" s="15" t="s">
        <v>19</v>
      </c>
    </row>
    <row r="283" spans="1:12" x14ac:dyDescent="0.25">
      <c r="A283" s="16">
        <v>2020</v>
      </c>
      <c r="B283" s="17" t="s">
        <v>37</v>
      </c>
      <c r="C283" s="17" t="s">
        <v>20</v>
      </c>
      <c r="D283" s="17" t="s">
        <v>14</v>
      </c>
      <c r="E283" s="18">
        <v>7473</v>
      </c>
      <c r="F283" s="19">
        <v>19621770.609999999</v>
      </c>
      <c r="G283" s="17">
        <v>3.88</v>
      </c>
      <c r="H283" s="17">
        <v>74.66</v>
      </c>
      <c r="I283" s="17">
        <v>27.55</v>
      </c>
      <c r="J283" s="17">
        <v>177.22</v>
      </c>
      <c r="K283" s="17">
        <v>72.36</v>
      </c>
      <c r="L283" s="20" t="s">
        <v>21</v>
      </c>
    </row>
    <row r="284" spans="1:12" x14ac:dyDescent="0.25">
      <c r="A284" s="11">
        <v>2020</v>
      </c>
      <c r="B284" s="12" t="s">
        <v>37</v>
      </c>
      <c r="C284" s="12" t="s">
        <v>22</v>
      </c>
      <c r="D284" s="12" t="s">
        <v>14</v>
      </c>
      <c r="E284" s="13">
        <v>11913</v>
      </c>
      <c r="F284" s="14">
        <v>41627181.200000003</v>
      </c>
      <c r="G284" s="12">
        <v>-0.35</v>
      </c>
      <c r="H284" s="12">
        <v>64.459999999999994</v>
      </c>
      <c r="I284" s="12">
        <v>0.83999999999999897</v>
      </c>
      <c r="J284" s="12">
        <v>155.16</v>
      </c>
      <c r="K284" s="12">
        <v>44.89</v>
      </c>
      <c r="L284" s="15" t="s">
        <v>17</v>
      </c>
    </row>
    <row r="285" spans="1:12" x14ac:dyDescent="0.25">
      <c r="A285" s="16">
        <v>2020</v>
      </c>
      <c r="B285" s="17" t="s">
        <v>37</v>
      </c>
      <c r="C285" s="17" t="s">
        <v>23</v>
      </c>
      <c r="D285" s="17" t="s">
        <v>24</v>
      </c>
      <c r="E285" s="18">
        <v>39692</v>
      </c>
      <c r="F285" s="19">
        <v>34859771.57</v>
      </c>
      <c r="G285" s="17">
        <v>6.62</v>
      </c>
      <c r="H285" s="17">
        <v>87.81</v>
      </c>
      <c r="I285" s="17">
        <v>39.64</v>
      </c>
      <c r="J285" s="17">
        <v>189.6</v>
      </c>
      <c r="K285" s="17">
        <v>62.18</v>
      </c>
      <c r="L285" s="20" t="s">
        <v>15</v>
      </c>
    </row>
    <row r="286" spans="1:12" x14ac:dyDescent="0.25">
      <c r="A286" s="11">
        <v>2020</v>
      </c>
      <c r="B286" s="12" t="s">
        <v>37</v>
      </c>
      <c r="C286" s="12" t="s">
        <v>25</v>
      </c>
      <c r="D286" s="12" t="s">
        <v>24</v>
      </c>
      <c r="E286" s="13">
        <v>48805</v>
      </c>
      <c r="F286" s="14">
        <v>32349455.399999999</v>
      </c>
      <c r="G286" s="12">
        <v>4.42</v>
      </c>
      <c r="H286" s="12">
        <v>99.33</v>
      </c>
      <c r="I286" s="12">
        <v>33.79</v>
      </c>
      <c r="J286" s="12">
        <v>96.26</v>
      </c>
      <c r="K286" s="12">
        <v>57.17</v>
      </c>
      <c r="L286" s="15" t="s">
        <v>21</v>
      </c>
    </row>
    <row r="287" spans="1:12" x14ac:dyDescent="0.25">
      <c r="A287" s="16">
        <v>2020</v>
      </c>
      <c r="B287" s="17" t="s">
        <v>37</v>
      </c>
      <c r="C287" s="17" t="s">
        <v>26</v>
      </c>
      <c r="D287" s="17" t="s">
        <v>24</v>
      </c>
      <c r="E287" s="18">
        <v>8115</v>
      </c>
      <c r="F287" s="19">
        <v>44826833.530000001</v>
      </c>
      <c r="G287" s="17">
        <v>4.6500000000000004</v>
      </c>
      <c r="H287" s="17">
        <v>62.42</v>
      </c>
      <c r="I287" s="17">
        <v>41.52</v>
      </c>
      <c r="J287" s="17">
        <v>295.85000000000002</v>
      </c>
      <c r="K287" s="17">
        <v>48.71</v>
      </c>
      <c r="L287" s="20" t="s">
        <v>15</v>
      </c>
    </row>
    <row r="288" spans="1:12" x14ac:dyDescent="0.25">
      <c r="A288" s="11">
        <v>2020</v>
      </c>
      <c r="B288" s="12" t="s">
        <v>37</v>
      </c>
      <c r="C288" s="12" t="s">
        <v>28</v>
      </c>
      <c r="D288" s="12" t="s">
        <v>24</v>
      </c>
      <c r="E288" s="13">
        <v>52951</v>
      </c>
      <c r="F288" s="14">
        <v>13524137.65</v>
      </c>
      <c r="G288" s="12">
        <v>2.83</v>
      </c>
      <c r="H288" s="12">
        <v>73.069999999999993</v>
      </c>
      <c r="I288" s="12">
        <v>27.79</v>
      </c>
      <c r="J288" s="12">
        <v>52.85</v>
      </c>
      <c r="K288" s="12">
        <v>70.84</v>
      </c>
      <c r="L288" s="15" t="s">
        <v>27</v>
      </c>
    </row>
    <row r="289" spans="1:12" x14ac:dyDescent="0.25">
      <c r="A289" s="16">
        <v>2020</v>
      </c>
      <c r="B289" s="17" t="s">
        <v>37</v>
      </c>
      <c r="C289" s="17" t="s">
        <v>29</v>
      </c>
      <c r="D289" s="17" t="s">
        <v>24</v>
      </c>
      <c r="E289" s="18">
        <v>40353</v>
      </c>
      <c r="F289" s="19">
        <v>16476389.24</v>
      </c>
      <c r="G289" s="17">
        <v>3.06</v>
      </c>
      <c r="H289" s="17">
        <v>46.41</v>
      </c>
      <c r="I289" s="17">
        <v>21.11</v>
      </c>
      <c r="J289" s="17">
        <v>194.98</v>
      </c>
      <c r="K289" s="17">
        <v>54.61</v>
      </c>
      <c r="L289" s="20" t="s">
        <v>19</v>
      </c>
    </row>
    <row r="290" spans="1:12" x14ac:dyDescent="0.25">
      <c r="A290" s="11">
        <v>2020</v>
      </c>
      <c r="B290" s="12" t="s">
        <v>37</v>
      </c>
      <c r="C290" s="12" t="s">
        <v>30</v>
      </c>
      <c r="D290" s="12" t="s">
        <v>24</v>
      </c>
      <c r="E290" s="13">
        <v>26015</v>
      </c>
      <c r="F290" s="14">
        <v>13548942.4439999</v>
      </c>
      <c r="G290" s="12">
        <v>5.19</v>
      </c>
      <c r="H290" s="12">
        <v>92.87</v>
      </c>
      <c r="I290" s="12">
        <v>45.67</v>
      </c>
      <c r="J290" s="12">
        <v>248.52</v>
      </c>
      <c r="K290" s="12">
        <v>85.87</v>
      </c>
      <c r="L290" s="15" t="s">
        <v>21</v>
      </c>
    </row>
    <row r="291" spans="1:12" x14ac:dyDescent="0.25">
      <c r="A291" s="16">
        <v>2020</v>
      </c>
      <c r="B291" s="17" t="s">
        <v>37</v>
      </c>
      <c r="C291" s="17" t="s">
        <v>31</v>
      </c>
      <c r="D291" s="17" t="s">
        <v>24</v>
      </c>
      <c r="E291" s="18">
        <v>11163</v>
      </c>
      <c r="F291" s="19">
        <v>12032304.635999899</v>
      </c>
      <c r="G291" s="17">
        <v>3.84</v>
      </c>
      <c r="H291" s="17">
        <v>40.71</v>
      </c>
      <c r="I291" s="17">
        <v>45.09</v>
      </c>
      <c r="J291" s="17">
        <v>122.22</v>
      </c>
      <c r="K291" s="17">
        <v>83.63</v>
      </c>
      <c r="L291" s="20" t="s">
        <v>21</v>
      </c>
    </row>
    <row r="292" spans="1:12" x14ac:dyDescent="0.25">
      <c r="A292" s="11">
        <v>2020</v>
      </c>
      <c r="B292" s="12" t="s">
        <v>37</v>
      </c>
      <c r="C292" s="12" t="s">
        <v>32</v>
      </c>
      <c r="D292" s="12" t="s">
        <v>24</v>
      </c>
      <c r="E292" s="13">
        <v>36975</v>
      </c>
      <c r="F292" s="14">
        <v>33358884.739999998</v>
      </c>
      <c r="G292" s="12">
        <v>5.3599999999999897</v>
      </c>
      <c r="H292" s="12">
        <v>74.28</v>
      </c>
      <c r="I292" s="12">
        <v>33.57</v>
      </c>
      <c r="J292" s="12">
        <v>72.540000000000006</v>
      </c>
      <c r="K292" s="12">
        <v>57.77</v>
      </c>
      <c r="L292" s="15" t="s">
        <v>21</v>
      </c>
    </row>
    <row r="293" spans="1:12" x14ac:dyDescent="0.25">
      <c r="A293" s="16">
        <v>2020</v>
      </c>
      <c r="B293" s="17" t="s">
        <v>37</v>
      </c>
      <c r="C293" s="17" t="s">
        <v>33</v>
      </c>
      <c r="D293" s="17" t="s">
        <v>24</v>
      </c>
      <c r="E293" s="18">
        <v>28163</v>
      </c>
      <c r="F293" s="19">
        <v>76740547.760000005</v>
      </c>
      <c r="G293" s="17">
        <v>6.5</v>
      </c>
      <c r="H293" s="17">
        <v>49.19</v>
      </c>
      <c r="I293" s="17">
        <v>23.05</v>
      </c>
      <c r="J293" s="17">
        <v>154.41999999999999</v>
      </c>
      <c r="K293" s="17">
        <v>78.77</v>
      </c>
      <c r="L293" s="20" t="s">
        <v>17</v>
      </c>
    </row>
    <row r="294" spans="1:12" x14ac:dyDescent="0.25">
      <c r="A294" s="11">
        <v>2020</v>
      </c>
      <c r="B294" s="12" t="s">
        <v>37</v>
      </c>
      <c r="C294" s="12" t="s">
        <v>34</v>
      </c>
      <c r="D294" s="12" t="s">
        <v>24</v>
      </c>
      <c r="E294" s="13">
        <v>49246</v>
      </c>
      <c r="F294" s="14">
        <v>5030391.84</v>
      </c>
      <c r="G294" s="12">
        <v>6.07</v>
      </c>
      <c r="H294" s="12">
        <v>51.07</v>
      </c>
      <c r="I294" s="12">
        <v>47.75</v>
      </c>
      <c r="J294" s="12">
        <v>137.41999999999999</v>
      </c>
      <c r="K294" s="12">
        <v>71.5</v>
      </c>
      <c r="L294" s="15" t="s">
        <v>19</v>
      </c>
    </row>
    <row r="295" spans="1:12" x14ac:dyDescent="0.25">
      <c r="A295" s="16">
        <v>2020</v>
      </c>
      <c r="B295" s="17" t="s">
        <v>35</v>
      </c>
      <c r="C295" s="17" t="s">
        <v>26</v>
      </c>
      <c r="D295" s="17" t="s">
        <v>24</v>
      </c>
      <c r="E295" s="18">
        <v>63974</v>
      </c>
      <c r="F295" s="19">
        <v>66783552.340000004</v>
      </c>
      <c r="G295" s="17">
        <v>4.99</v>
      </c>
      <c r="H295" s="17">
        <v>43.38</v>
      </c>
      <c r="I295" s="17">
        <v>39.44</v>
      </c>
      <c r="J295" s="17">
        <v>264.14999999999998</v>
      </c>
      <c r="K295" s="17">
        <v>79.22</v>
      </c>
      <c r="L295" s="20" t="s">
        <v>19</v>
      </c>
    </row>
    <row r="296" spans="1:12" x14ac:dyDescent="0.25">
      <c r="A296" s="11">
        <v>2020</v>
      </c>
      <c r="B296" s="12" t="s">
        <v>35</v>
      </c>
      <c r="C296" s="12" t="s">
        <v>23</v>
      </c>
      <c r="D296" s="12" t="s">
        <v>24</v>
      </c>
      <c r="E296" s="13">
        <v>51214</v>
      </c>
      <c r="F296" s="14">
        <v>22604101.449999999</v>
      </c>
      <c r="G296" s="12">
        <v>3.88</v>
      </c>
      <c r="H296" s="12">
        <v>98.74</v>
      </c>
      <c r="I296" s="12">
        <v>29.87</v>
      </c>
      <c r="J296" s="12">
        <v>153.44999999999999</v>
      </c>
      <c r="K296" s="12">
        <v>54.94</v>
      </c>
      <c r="L296" s="15" t="s">
        <v>21</v>
      </c>
    </row>
    <row r="297" spans="1:12" x14ac:dyDescent="0.25">
      <c r="A297" s="16">
        <v>2020</v>
      </c>
      <c r="B297" s="17" t="s">
        <v>12</v>
      </c>
      <c r="C297" s="17" t="s">
        <v>28</v>
      </c>
      <c r="D297" s="17" t="s">
        <v>24</v>
      </c>
      <c r="E297" s="18">
        <v>11438</v>
      </c>
      <c r="F297" s="19">
        <v>56002244.289999999</v>
      </c>
      <c r="G297" s="17">
        <v>6.33</v>
      </c>
      <c r="H297" s="17">
        <v>93.95</v>
      </c>
      <c r="I297" s="17">
        <v>52.02</v>
      </c>
      <c r="J297" s="17">
        <v>168.24</v>
      </c>
      <c r="K297" s="17">
        <v>63.04</v>
      </c>
      <c r="L297" s="20" t="s">
        <v>15</v>
      </c>
    </row>
    <row r="298" spans="1:12" x14ac:dyDescent="0.25">
      <c r="A298" s="11">
        <v>2020</v>
      </c>
      <c r="B298" s="12" t="s">
        <v>37</v>
      </c>
      <c r="C298" s="12" t="s">
        <v>16</v>
      </c>
      <c r="D298" s="12" t="s">
        <v>14</v>
      </c>
      <c r="E298" s="13">
        <v>35672</v>
      </c>
      <c r="F298" s="14">
        <v>43822054.960000001</v>
      </c>
      <c r="G298" s="12">
        <v>0.84</v>
      </c>
      <c r="H298" s="12">
        <v>44.22</v>
      </c>
      <c r="I298" s="12">
        <v>46.9</v>
      </c>
      <c r="J298" s="12">
        <v>285.05</v>
      </c>
      <c r="K298" s="12">
        <v>50.09</v>
      </c>
      <c r="L298" s="15" t="s">
        <v>15</v>
      </c>
    </row>
    <row r="299" spans="1:12" x14ac:dyDescent="0.25">
      <c r="A299" s="16">
        <v>2020</v>
      </c>
      <c r="B299" s="17" t="s">
        <v>37</v>
      </c>
      <c r="C299" s="17" t="s">
        <v>16</v>
      </c>
      <c r="D299" s="17" t="s">
        <v>14</v>
      </c>
      <c r="E299" s="18">
        <v>35672</v>
      </c>
      <c r="F299" s="19">
        <v>43822054.960000001</v>
      </c>
      <c r="G299" s="17">
        <v>0.84</v>
      </c>
      <c r="H299" s="17">
        <v>44.22</v>
      </c>
      <c r="I299" s="17">
        <v>46.9</v>
      </c>
      <c r="J299" s="17">
        <v>285.05</v>
      </c>
      <c r="K299" s="17">
        <v>50.09</v>
      </c>
      <c r="L299" s="20" t="s">
        <v>15</v>
      </c>
    </row>
    <row r="300" spans="1:12" x14ac:dyDescent="0.25">
      <c r="A300" s="11">
        <v>2020</v>
      </c>
      <c r="B300" s="12" t="s">
        <v>35</v>
      </c>
      <c r="C300" s="12" t="s">
        <v>31</v>
      </c>
      <c r="D300" s="12" t="s">
        <v>24</v>
      </c>
      <c r="E300" s="13">
        <v>61462</v>
      </c>
      <c r="F300" s="14">
        <v>55137531.491999902</v>
      </c>
      <c r="G300" s="12">
        <v>5.7799999999999896</v>
      </c>
      <c r="H300" s="12">
        <v>89.44</v>
      </c>
      <c r="I300" s="12">
        <v>51.04</v>
      </c>
      <c r="J300" s="12">
        <v>280.82</v>
      </c>
      <c r="K300" s="12">
        <v>85.04</v>
      </c>
      <c r="L300" s="15" t="s">
        <v>17</v>
      </c>
    </row>
    <row r="301" spans="1:12" x14ac:dyDescent="0.25">
      <c r="A301" s="16">
        <v>2020</v>
      </c>
      <c r="B301" s="17" t="s">
        <v>36</v>
      </c>
      <c r="C301" s="17" t="s">
        <v>28</v>
      </c>
      <c r="D301" s="17" t="s">
        <v>24</v>
      </c>
      <c r="E301" s="18">
        <v>33872</v>
      </c>
      <c r="F301" s="19">
        <v>60050676.799999997</v>
      </c>
      <c r="G301" s="17">
        <v>2.94</v>
      </c>
      <c r="H301" s="17">
        <v>88.63</v>
      </c>
      <c r="I301" s="17">
        <v>27.11</v>
      </c>
      <c r="J301" s="17">
        <v>186.09</v>
      </c>
      <c r="K301" s="17">
        <v>61.17</v>
      </c>
      <c r="L301" s="20" t="s">
        <v>19</v>
      </c>
    </row>
    <row r="302" spans="1:12" x14ac:dyDescent="0.25">
      <c r="A302" s="11">
        <v>2020</v>
      </c>
      <c r="B302" s="12" t="s">
        <v>12</v>
      </c>
      <c r="C302" s="12" t="s">
        <v>34</v>
      </c>
      <c r="D302" s="12" t="s">
        <v>24</v>
      </c>
      <c r="E302" s="13">
        <v>53118</v>
      </c>
      <c r="F302" s="14">
        <v>71564619.920000002</v>
      </c>
      <c r="G302" s="12">
        <v>4.21</v>
      </c>
      <c r="H302" s="12">
        <v>103.57</v>
      </c>
      <c r="I302" s="12">
        <v>52.17</v>
      </c>
      <c r="J302" s="12">
        <v>120.41</v>
      </c>
      <c r="K302" s="12">
        <v>76.81</v>
      </c>
      <c r="L302" s="15" t="s">
        <v>21</v>
      </c>
    </row>
    <row r="303" spans="1:12" x14ac:dyDescent="0.25">
      <c r="A303" s="16">
        <v>2020</v>
      </c>
      <c r="B303" s="17" t="s">
        <v>35</v>
      </c>
      <c r="C303" s="17" t="s">
        <v>22</v>
      </c>
      <c r="D303" s="17" t="s">
        <v>14</v>
      </c>
      <c r="E303" s="18">
        <v>8601</v>
      </c>
      <c r="F303" s="19">
        <v>32922566.239999998</v>
      </c>
      <c r="G303" s="17">
        <v>2.99</v>
      </c>
      <c r="H303" s="17">
        <v>82.16</v>
      </c>
      <c r="I303" s="17">
        <v>47.56</v>
      </c>
      <c r="J303" s="17">
        <v>139.41999999999999</v>
      </c>
      <c r="K303" s="17">
        <v>52.96</v>
      </c>
      <c r="L303" s="20" t="s">
        <v>15</v>
      </c>
    </row>
    <row r="304" spans="1:12" x14ac:dyDescent="0.25">
      <c r="A304" s="11">
        <v>2020</v>
      </c>
      <c r="B304" s="12" t="s">
        <v>37</v>
      </c>
      <c r="C304" s="12" t="s">
        <v>25</v>
      </c>
      <c r="D304" s="12" t="s">
        <v>24</v>
      </c>
      <c r="E304" s="13">
        <v>48805</v>
      </c>
      <c r="F304" s="14">
        <v>32349455.399999999</v>
      </c>
      <c r="G304" s="12">
        <v>4.42</v>
      </c>
      <c r="H304" s="12">
        <v>99.33</v>
      </c>
      <c r="I304" s="12">
        <v>33.79</v>
      </c>
      <c r="J304" s="12">
        <v>96.26</v>
      </c>
      <c r="K304" s="12">
        <v>57.17</v>
      </c>
      <c r="L304" s="15" t="s">
        <v>21</v>
      </c>
    </row>
    <row r="305" spans="1:12" x14ac:dyDescent="0.25">
      <c r="A305" s="16">
        <v>2020</v>
      </c>
      <c r="B305" s="17" t="s">
        <v>36</v>
      </c>
      <c r="C305" s="17" t="s">
        <v>25</v>
      </c>
      <c r="D305" s="17" t="s">
        <v>24</v>
      </c>
      <c r="E305" s="18">
        <v>63137</v>
      </c>
      <c r="F305" s="19">
        <v>23567297.829999998</v>
      </c>
      <c r="G305" s="17">
        <v>4.79</v>
      </c>
      <c r="H305" s="17">
        <v>66.150000000000006</v>
      </c>
      <c r="I305" s="17">
        <v>49.64</v>
      </c>
      <c r="J305" s="17">
        <v>94.47</v>
      </c>
      <c r="K305" s="17">
        <v>82.6</v>
      </c>
      <c r="L305" s="20" t="s">
        <v>21</v>
      </c>
    </row>
    <row r="306" spans="1:12" x14ac:dyDescent="0.25">
      <c r="A306" s="11">
        <v>2020</v>
      </c>
      <c r="B306" s="12" t="s">
        <v>36</v>
      </c>
      <c r="C306" s="12" t="s">
        <v>29</v>
      </c>
      <c r="D306" s="12" t="s">
        <v>24</v>
      </c>
      <c r="E306" s="13">
        <v>56598</v>
      </c>
      <c r="F306" s="14">
        <v>9650777.5319999997</v>
      </c>
      <c r="G306" s="12">
        <v>6.61</v>
      </c>
      <c r="H306" s="12">
        <v>77.650000000000006</v>
      </c>
      <c r="I306" s="12">
        <v>26.15</v>
      </c>
      <c r="J306" s="12">
        <v>69.040000000000006</v>
      </c>
      <c r="K306" s="12">
        <v>88.7</v>
      </c>
      <c r="L306" s="15" t="s">
        <v>17</v>
      </c>
    </row>
    <row r="307" spans="1:12" x14ac:dyDescent="0.25">
      <c r="A307" s="16">
        <v>2020</v>
      </c>
      <c r="B307" s="17" t="s">
        <v>12</v>
      </c>
      <c r="C307" s="17" t="s">
        <v>16</v>
      </c>
      <c r="D307" s="17" t="s">
        <v>14</v>
      </c>
      <c r="E307" s="18">
        <v>21472</v>
      </c>
      <c r="F307" s="19">
        <v>34965645.310000002</v>
      </c>
      <c r="G307" s="17">
        <v>0.25</v>
      </c>
      <c r="H307" s="17">
        <v>49.22</v>
      </c>
      <c r="I307" s="17">
        <v>24.99</v>
      </c>
      <c r="J307" s="17">
        <v>247.01</v>
      </c>
      <c r="K307" s="17">
        <v>80.17</v>
      </c>
      <c r="L307" s="20" t="s">
        <v>17</v>
      </c>
    </row>
    <row r="308" spans="1:12" x14ac:dyDescent="0.25">
      <c r="A308" s="11">
        <v>2020</v>
      </c>
      <c r="B308" s="12" t="s">
        <v>37</v>
      </c>
      <c r="C308" s="12" t="s">
        <v>32</v>
      </c>
      <c r="D308" s="12" t="s">
        <v>24</v>
      </c>
      <c r="E308" s="13">
        <v>36975</v>
      </c>
      <c r="F308" s="14">
        <v>33358884.739999998</v>
      </c>
      <c r="G308" s="12">
        <v>5.3599999999999897</v>
      </c>
      <c r="H308" s="12">
        <v>74.28</v>
      </c>
      <c r="I308" s="12">
        <v>33.57</v>
      </c>
      <c r="J308" s="12">
        <v>72.540000000000006</v>
      </c>
      <c r="K308" s="12">
        <v>57.77</v>
      </c>
      <c r="L308" s="15" t="s">
        <v>21</v>
      </c>
    </row>
    <row r="309" spans="1:12" x14ac:dyDescent="0.25">
      <c r="A309" s="16">
        <v>2020</v>
      </c>
      <c r="B309" s="17" t="s">
        <v>36</v>
      </c>
      <c r="C309" s="17" t="s">
        <v>25</v>
      </c>
      <c r="D309" s="17" t="s">
        <v>24</v>
      </c>
      <c r="E309" s="18">
        <v>63137</v>
      </c>
      <c r="F309" s="19">
        <v>23567297.829999998</v>
      </c>
      <c r="G309" s="17">
        <v>4.79</v>
      </c>
      <c r="H309" s="17">
        <v>66.150000000000006</v>
      </c>
      <c r="I309" s="17">
        <v>49.64</v>
      </c>
      <c r="J309" s="17">
        <v>94.47</v>
      </c>
      <c r="K309" s="17">
        <v>82.6</v>
      </c>
      <c r="L309" s="20" t="s">
        <v>21</v>
      </c>
    </row>
    <row r="310" spans="1:12" x14ac:dyDescent="0.25">
      <c r="A310" s="11">
        <v>2020</v>
      </c>
      <c r="B310" s="12" t="s">
        <v>36</v>
      </c>
      <c r="C310" s="12" t="s">
        <v>22</v>
      </c>
      <c r="D310" s="12" t="s">
        <v>14</v>
      </c>
      <c r="E310" s="13">
        <v>44767</v>
      </c>
      <c r="F310" s="14">
        <v>6397386.2189999996</v>
      </c>
      <c r="G310" s="12">
        <v>2.66</v>
      </c>
      <c r="H310" s="12">
        <v>65.67</v>
      </c>
      <c r="I310" s="12">
        <v>24.92</v>
      </c>
      <c r="J310" s="12">
        <v>94.9</v>
      </c>
      <c r="K310" s="12">
        <v>53.63</v>
      </c>
      <c r="L310" s="15" t="s">
        <v>19</v>
      </c>
    </row>
    <row r="311" spans="1:12" x14ac:dyDescent="0.25">
      <c r="A311" s="16">
        <v>2020</v>
      </c>
      <c r="B311" s="17" t="s">
        <v>36</v>
      </c>
      <c r="C311" s="17" t="s">
        <v>23</v>
      </c>
      <c r="D311" s="17" t="s">
        <v>24</v>
      </c>
      <c r="E311" s="18">
        <v>29628</v>
      </c>
      <c r="F311" s="19">
        <v>50812407.275999904</v>
      </c>
      <c r="G311" s="17">
        <v>5.1099999999999897</v>
      </c>
      <c r="H311" s="17">
        <v>88.32</v>
      </c>
      <c r="I311" s="17">
        <v>13.49</v>
      </c>
      <c r="J311" s="17">
        <v>66.69</v>
      </c>
      <c r="K311" s="17">
        <v>63.04</v>
      </c>
      <c r="L311" s="20" t="s">
        <v>15</v>
      </c>
    </row>
    <row r="312" spans="1:12" x14ac:dyDescent="0.25">
      <c r="A312" s="11">
        <v>2020</v>
      </c>
      <c r="B312" s="12" t="s">
        <v>35</v>
      </c>
      <c r="C312" s="12" t="s">
        <v>16</v>
      </c>
      <c r="D312" s="12" t="s">
        <v>14</v>
      </c>
      <c r="E312" s="13">
        <v>8785</v>
      </c>
      <c r="F312" s="14">
        <v>16339172.24</v>
      </c>
      <c r="G312" s="12">
        <v>-0.36</v>
      </c>
      <c r="H312" s="12">
        <v>50.5</v>
      </c>
      <c r="I312" s="12">
        <v>16.16</v>
      </c>
      <c r="J312" s="12">
        <v>96.06</v>
      </c>
      <c r="K312" s="12">
        <v>70.489999999999995</v>
      </c>
      <c r="L312" s="15" t="s">
        <v>27</v>
      </c>
    </row>
    <row r="313" spans="1:12" x14ac:dyDescent="0.25">
      <c r="A313" s="16">
        <v>2020</v>
      </c>
      <c r="B313" s="17" t="s">
        <v>12</v>
      </c>
      <c r="C313" s="17" t="s">
        <v>26</v>
      </c>
      <c r="D313" s="17" t="s">
        <v>24</v>
      </c>
      <c r="E313" s="18">
        <v>48484</v>
      </c>
      <c r="F313" s="19">
        <v>10752134.16</v>
      </c>
      <c r="G313" s="17">
        <v>3.75</v>
      </c>
      <c r="H313" s="17">
        <v>41.49</v>
      </c>
      <c r="I313" s="17">
        <v>10.67</v>
      </c>
      <c r="J313" s="17">
        <v>87.88</v>
      </c>
      <c r="K313" s="17">
        <v>79.09</v>
      </c>
      <c r="L313" s="20" t="s">
        <v>19</v>
      </c>
    </row>
    <row r="314" spans="1:12" x14ac:dyDescent="0.25">
      <c r="A314" s="11">
        <v>2020</v>
      </c>
      <c r="B314" s="12" t="s">
        <v>35</v>
      </c>
      <c r="C314" s="12" t="s">
        <v>22</v>
      </c>
      <c r="D314" s="12" t="s">
        <v>14</v>
      </c>
      <c r="E314" s="13">
        <v>8601</v>
      </c>
      <c r="F314" s="14">
        <v>32922566.239999998</v>
      </c>
      <c r="G314" s="12">
        <v>2.99</v>
      </c>
      <c r="H314" s="12">
        <v>82.16</v>
      </c>
      <c r="I314" s="12">
        <v>47.56</v>
      </c>
      <c r="J314" s="12">
        <v>139.41999999999999</v>
      </c>
      <c r="K314" s="12">
        <v>52.96</v>
      </c>
      <c r="L314" s="15" t="s">
        <v>15</v>
      </c>
    </row>
    <row r="315" spans="1:12" x14ac:dyDescent="0.25">
      <c r="A315" s="16">
        <v>2020</v>
      </c>
      <c r="B315" s="17" t="s">
        <v>35</v>
      </c>
      <c r="C315" s="17" t="s">
        <v>34</v>
      </c>
      <c r="D315" s="17" t="s">
        <v>24</v>
      </c>
      <c r="E315" s="18">
        <v>47830</v>
      </c>
      <c r="F315" s="19">
        <v>79207664.340000004</v>
      </c>
      <c r="G315" s="17">
        <v>3.46</v>
      </c>
      <c r="H315" s="17">
        <v>58.97</v>
      </c>
      <c r="I315" s="17">
        <v>52.43</v>
      </c>
      <c r="J315" s="17">
        <v>236.28</v>
      </c>
      <c r="K315" s="17">
        <v>50.08</v>
      </c>
      <c r="L315" s="20" t="s">
        <v>15</v>
      </c>
    </row>
    <row r="316" spans="1:12" x14ac:dyDescent="0.25">
      <c r="A316" s="11">
        <v>2020</v>
      </c>
      <c r="B316" s="12" t="s">
        <v>12</v>
      </c>
      <c r="C316" s="12" t="s">
        <v>28</v>
      </c>
      <c r="D316" s="12" t="s">
        <v>24</v>
      </c>
      <c r="E316" s="13">
        <v>11438</v>
      </c>
      <c r="F316" s="14">
        <v>56002244.289999999</v>
      </c>
      <c r="G316" s="12">
        <v>6.33</v>
      </c>
      <c r="H316" s="12">
        <v>93.95</v>
      </c>
      <c r="I316" s="12">
        <v>52.02</v>
      </c>
      <c r="J316" s="12">
        <v>168.24</v>
      </c>
      <c r="K316" s="12">
        <v>63.04</v>
      </c>
      <c r="L316" s="15" t="s">
        <v>15</v>
      </c>
    </row>
    <row r="317" spans="1:12" x14ac:dyDescent="0.25">
      <c r="A317" s="16">
        <v>2020</v>
      </c>
      <c r="B317" s="17" t="s">
        <v>35</v>
      </c>
      <c r="C317" s="17" t="s">
        <v>34</v>
      </c>
      <c r="D317" s="17" t="s">
        <v>24</v>
      </c>
      <c r="E317" s="18">
        <v>47830</v>
      </c>
      <c r="F317" s="19">
        <v>79207664.340000004</v>
      </c>
      <c r="G317" s="17">
        <v>3.46</v>
      </c>
      <c r="H317" s="17">
        <v>58.97</v>
      </c>
      <c r="I317" s="17">
        <v>52.43</v>
      </c>
      <c r="J317" s="17">
        <v>236.28</v>
      </c>
      <c r="K317" s="17">
        <v>50.08</v>
      </c>
      <c r="L317" s="20" t="s">
        <v>15</v>
      </c>
    </row>
    <row r="318" spans="1:12" x14ac:dyDescent="0.25">
      <c r="A318" s="11">
        <v>2020</v>
      </c>
      <c r="B318" s="12" t="s">
        <v>37</v>
      </c>
      <c r="C318" s="12" t="s">
        <v>31</v>
      </c>
      <c r="D318" s="12" t="s">
        <v>24</v>
      </c>
      <c r="E318" s="13">
        <v>11163</v>
      </c>
      <c r="F318" s="14">
        <v>12032304.635999899</v>
      </c>
      <c r="G318" s="12">
        <v>3.84</v>
      </c>
      <c r="H318" s="12">
        <v>40.71</v>
      </c>
      <c r="I318" s="12">
        <v>45.09</v>
      </c>
      <c r="J318" s="12">
        <v>122.22</v>
      </c>
      <c r="K318" s="12">
        <v>83.63</v>
      </c>
      <c r="L318" s="15" t="s">
        <v>21</v>
      </c>
    </row>
    <row r="319" spans="1:12" x14ac:dyDescent="0.25">
      <c r="A319" s="16">
        <v>2020</v>
      </c>
      <c r="B319" s="17" t="s">
        <v>36</v>
      </c>
      <c r="C319" s="17" t="s">
        <v>31</v>
      </c>
      <c r="D319" s="17" t="s">
        <v>24</v>
      </c>
      <c r="E319" s="18">
        <v>53108</v>
      </c>
      <c r="F319" s="19">
        <v>8982957.7799999993</v>
      </c>
      <c r="G319" s="17">
        <v>6.02</v>
      </c>
      <c r="H319" s="17">
        <v>47.8</v>
      </c>
      <c r="I319" s="17">
        <v>32.450000000000003</v>
      </c>
      <c r="J319" s="17">
        <v>100.39</v>
      </c>
      <c r="K319" s="17">
        <v>59.44</v>
      </c>
      <c r="L319" s="20" t="s">
        <v>17</v>
      </c>
    </row>
    <row r="320" spans="1:12" x14ac:dyDescent="0.25">
      <c r="A320" s="11">
        <v>2020</v>
      </c>
      <c r="B320" s="12" t="s">
        <v>12</v>
      </c>
      <c r="C320" s="12" t="s">
        <v>23</v>
      </c>
      <c r="D320" s="12" t="s">
        <v>24</v>
      </c>
      <c r="E320" s="13">
        <v>42883</v>
      </c>
      <c r="F320" s="14">
        <v>18588730.370000001</v>
      </c>
      <c r="G320" s="12">
        <v>6.37</v>
      </c>
      <c r="H320" s="12">
        <v>72.87</v>
      </c>
      <c r="I320" s="12">
        <v>45.86</v>
      </c>
      <c r="J320" s="12">
        <v>273.58999999999997</v>
      </c>
      <c r="K320" s="12">
        <v>52.9</v>
      </c>
      <c r="L320" s="15" t="s">
        <v>15</v>
      </c>
    </row>
    <row r="321" spans="1:12" x14ac:dyDescent="0.25">
      <c r="A321" s="16">
        <v>2020</v>
      </c>
      <c r="B321" s="17" t="s">
        <v>37</v>
      </c>
      <c r="C321" s="17" t="s">
        <v>20</v>
      </c>
      <c r="D321" s="17" t="s">
        <v>14</v>
      </c>
      <c r="E321" s="18">
        <v>7473</v>
      </c>
      <c r="F321" s="19">
        <v>19621770.609999999</v>
      </c>
      <c r="G321" s="17">
        <v>3.88</v>
      </c>
      <c r="H321" s="17">
        <v>74.66</v>
      </c>
      <c r="I321" s="17">
        <v>27.55</v>
      </c>
      <c r="J321" s="17">
        <v>177.22</v>
      </c>
      <c r="K321" s="17">
        <v>72.36</v>
      </c>
      <c r="L321" s="20" t="s">
        <v>21</v>
      </c>
    </row>
    <row r="322" spans="1:12" x14ac:dyDescent="0.25">
      <c r="A322" s="11">
        <v>2020</v>
      </c>
      <c r="B322" s="12" t="s">
        <v>36</v>
      </c>
      <c r="C322" s="12" t="s">
        <v>22</v>
      </c>
      <c r="D322" s="12" t="s">
        <v>14</v>
      </c>
      <c r="E322" s="13">
        <v>44767</v>
      </c>
      <c r="F322" s="14">
        <v>6397386.2189999996</v>
      </c>
      <c r="G322" s="12">
        <v>2.66</v>
      </c>
      <c r="H322" s="12">
        <v>65.67</v>
      </c>
      <c r="I322" s="12">
        <v>24.92</v>
      </c>
      <c r="J322" s="12">
        <v>94.9</v>
      </c>
      <c r="K322" s="12">
        <v>53.63</v>
      </c>
      <c r="L322" s="15" t="s">
        <v>19</v>
      </c>
    </row>
    <row r="323" spans="1:12" x14ac:dyDescent="0.25">
      <c r="A323" s="16">
        <v>2020</v>
      </c>
      <c r="B323" s="17" t="s">
        <v>37</v>
      </c>
      <c r="C323" s="17" t="s">
        <v>20</v>
      </c>
      <c r="D323" s="17" t="s">
        <v>14</v>
      </c>
      <c r="E323" s="18">
        <v>7473</v>
      </c>
      <c r="F323" s="19">
        <v>19621770.609999999</v>
      </c>
      <c r="G323" s="17">
        <v>3.88</v>
      </c>
      <c r="H323" s="17">
        <v>74.66</v>
      </c>
      <c r="I323" s="17">
        <v>27.55</v>
      </c>
      <c r="J323" s="17">
        <v>177.22</v>
      </c>
      <c r="K323" s="17">
        <v>72.36</v>
      </c>
      <c r="L323" s="20" t="s">
        <v>21</v>
      </c>
    </row>
    <row r="324" spans="1:12" x14ac:dyDescent="0.25">
      <c r="A324" s="11">
        <v>2020</v>
      </c>
      <c r="B324" s="12" t="s">
        <v>36</v>
      </c>
      <c r="C324" s="12" t="s">
        <v>26</v>
      </c>
      <c r="D324" s="12" t="s">
        <v>24</v>
      </c>
      <c r="E324" s="13">
        <v>56115</v>
      </c>
      <c r="F324" s="14">
        <v>16158944.449999999</v>
      </c>
      <c r="G324" s="12">
        <v>6.22</v>
      </c>
      <c r="H324" s="12">
        <v>91.44</v>
      </c>
      <c r="I324" s="12">
        <v>29.96</v>
      </c>
      <c r="J324" s="12">
        <v>193.54</v>
      </c>
      <c r="K324" s="12">
        <v>89.31</v>
      </c>
      <c r="L324" s="15" t="s">
        <v>27</v>
      </c>
    </row>
    <row r="325" spans="1:12" x14ac:dyDescent="0.25">
      <c r="A325" s="16">
        <v>2020</v>
      </c>
      <c r="B325" s="17" t="s">
        <v>36</v>
      </c>
      <c r="C325" s="17" t="s">
        <v>18</v>
      </c>
      <c r="D325" s="17" t="s">
        <v>14</v>
      </c>
      <c r="E325" s="18">
        <v>7511</v>
      </c>
      <c r="F325" s="19">
        <v>31385211.280000001</v>
      </c>
      <c r="G325" s="17">
        <v>1.48</v>
      </c>
      <c r="H325" s="17">
        <v>60</v>
      </c>
      <c r="I325" s="17">
        <v>1.68</v>
      </c>
      <c r="J325" s="17">
        <v>52.52</v>
      </c>
      <c r="K325" s="17">
        <v>85.45</v>
      </c>
      <c r="L325" s="20" t="s">
        <v>21</v>
      </c>
    </row>
    <row r="326" spans="1:12" x14ac:dyDescent="0.25">
      <c r="A326" s="11">
        <v>2020</v>
      </c>
      <c r="B326" s="12" t="s">
        <v>36</v>
      </c>
      <c r="C326" s="12" t="s">
        <v>26</v>
      </c>
      <c r="D326" s="12" t="s">
        <v>24</v>
      </c>
      <c r="E326" s="13">
        <v>56115</v>
      </c>
      <c r="F326" s="14">
        <v>16158944.449999999</v>
      </c>
      <c r="G326" s="12">
        <v>6.22</v>
      </c>
      <c r="H326" s="12">
        <v>91.44</v>
      </c>
      <c r="I326" s="12">
        <v>29.96</v>
      </c>
      <c r="J326" s="12">
        <v>193.54</v>
      </c>
      <c r="K326" s="12">
        <v>89.31</v>
      </c>
      <c r="L326" s="15" t="s">
        <v>27</v>
      </c>
    </row>
    <row r="327" spans="1:12" x14ac:dyDescent="0.25">
      <c r="A327" s="16">
        <v>2020</v>
      </c>
      <c r="B327" s="17" t="s">
        <v>35</v>
      </c>
      <c r="C327" s="17" t="s">
        <v>33</v>
      </c>
      <c r="D327" s="17" t="s">
        <v>24</v>
      </c>
      <c r="E327" s="18">
        <v>53896</v>
      </c>
      <c r="F327" s="19">
        <v>47982928.727999903</v>
      </c>
      <c r="G327" s="17">
        <v>3.17</v>
      </c>
      <c r="H327" s="17">
        <v>75.16</v>
      </c>
      <c r="I327" s="17">
        <v>22.74</v>
      </c>
      <c r="J327" s="17">
        <v>92.93</v>
      </c>
      <c r="K327" s="17">
        <v>86.89</v>
      </c>
      <c r="L327" s="20" t="s">
        <v>17</v>
      </c>
    </row>
    <row r="328" spans="1:12" x14ac:dyDescent="0.25">
      <c r="A328" s="11">
        <v>2020</v>
      </c>
      <c r="B328" s="12" t="s">
        <v>37</v>
      </c>
      <c r="C328" s="12" t="s">
        <v>25</v>
      </c>
      <c r="D328" s="12" t="s">
        <v>24</v>
      </c>
      <c r="E328" s="13">
        <v>48805</v>
      </c>
      <c r="F328" s="14">
        <v>32349455.399999999</v>
      </c>
      <c r="G328" s="12">
        <v>4.42</v>
      </c>
      <c r="H328" s="12">
        <v>99.33</v>
      </c>
      <c r="I328" s="12">
        <v>33.79</v>
      </c>
      <c r="J328" s="12">
        <v>96.26</v>
      </c>
      <c r="K328" s="12">
        <v>57.17</v>
      </c>
      <c r="L328" s="15" t="s">
        <v>21</v>
      </c>
    </row>
    <row r="329" spans="1:12" x14ac:dyDescent="0.25">
      <c r="A329" s="16">
        <v>2020</v>
      </c>
      <c r="B329" s="17" t="s">
        <v>12</v>
      </c>
      <c r="C329" s="17" t="s">
        <v>22</v>
      </c>
      <c r="D329" s="17" t="s">
        <v>14</v>
      </c>
      <c r="E329" s="18">
        <v>18546</v>
      </c>
      <c r="F329" s="19">
        <v>42315159.990000002</v>
      </c>
      <c r="G329" s="17">
        <v>1.81</v>
      </c>
      <c r="H329" s="17">
        <v>58.09</v>
      </c>
      <c r="I329" s="17">
        <v>33.08</v>
      </c>
      <c r="J329" s="17">
        <v>110.9</v>
      </c>
      <c r="K329" s="17">
        <v>49.63</v>
      </c>
      <c r="L329" s="20" t="s">
        <v>17</v>
      </c>
    </row>
    <row r="330" spans="1:12" x14ac:dyDescent="0.25">
      <c r="A330" s="11">
        <v>2020</v>
      </c>
      <c r="B330" s="12" t="s">
        <v>35</v>
      </c>
      <c r="C330" s="12" t="s">
        <v>20</v>
      </c>
      <c r="D330" s="12" t="s">
        <v>14</v>
      </c>
      <c r="E330" s="13">
        <v>29178</v>
      </c>
      <c r="F330" s="14">
        <v>41803911.049999997</v>
      </c>
      <c r="G330" s="12">
        <v>2.59</v>
      </c>
      <c r="H330" s="12">
        <v>47.84</v>
      </c>
      <c r="I330" s="12">
        <v>16.52</v>
      </c>
      <c r="J330" s="12">
        <v>134.32</v>
      </c>
      <c r="K330" s="12">
        <v>74.930000000000007</v>
      </c>
      <c r="L330" s="15" t="s">
        <v>17</v>
      </c>
    </row>
    <row r="331" spans="1:12" x14ac:dyDescent="0.25">
      <c r="A331" s="16">
        <v>2020</v>
      </c>
      <c r="B331" s="17" t="s">
        <v>12</v>
      </c>
      <c r="C331" s="17" t="s">
        <v>25</v>
      </c>
      <c r="D331" s="17" t="s">
        <v>24</v>
      </c>
      <c r="E331" s="18">
        <v>49662</v>
      </c>
      <c r="F331" s="19">
        <v>52134225.079999998</v>
      </c>
      <c r="G331" s="17">
        <v>2.9</v>
      </c>
      <c r="H331" s="17">
        <v>96.42</v>
      </c>
      <c r="I331" s="17">
        <v>52.2</v>
      </c>
      <c r="J331" s="17">
        <v>187.23</v>
      </c>
      <c r="K331" s="17">
        <v>76.5</v>
      </c>
      <c r="L331" s="20" t="s">
        <v>19</v>
      </c>
    </row>
    <row r="332" spans="1:12" x14ac:dyDescent="0.25">
      <c r="A332" s="11">
        <v>2020</v>
      </c>
      <c r="B332" s="12" t="s">
        <v>36</v>
      </c>
      <c r="C332" s="12" t="s">
        <v>16</v>
      </c>
      <c r="D332" s="12" t="s">
        <v>14</v>
      </c>
      <c r="E332" s="13">
        <v>38772</v>
      </c>
      <c r="F332" s="14">
        <v>27841226.879999999</v>
      </c>
      <c r="G332" s="12">
        <v>3.48</v>
      </c>
      <c r="H332" s="12">
        <v>60.92</v>
      </c>
      <c r="I332" s="12">
        <v>27.62</v>
      </c>
      <c r="J332" s="12">
        <v>136.07</v>
      </c>
      <c r="K332" s="12">
        <v>84.47</v>
      </c>
      <c r="L332" s="15" t="s">
        <v>27</v>
      </c>
    </row>
    <row r="333" spans="1:12" x14ac:dyDescent="0.25">
      <c r="A333" s="16">
        <v>2020</v>
      </c>
      <c r="B333" s="17" t="s">
        <v>12</v>
      </c>
      <c r="C333" s="17" t="s">
        <v>30</v>
      </c>
      <c r="D333" s="17" t="s">
        <v>24</v>
      </c>
      <c r="E333" s="18">
        <v>40807</v>
      </c>
      <c r="F333" s="19">
        <v>28409469.32</v>
      </c>
      <c r="G333" s="17">
        <v>3.04</v>
      </c>
      <c r="H333" s="17">
        <v>47.56</v>
      </c>
      <c r="I333" s="17">
        <v>33.590000000000003</v>
      </c>
      <c r="J333" s="17">
        <v>95.38</v>
      </c>
      <c r="K333" s="17">
        <v>57.91</v>
      </c>
      <c r="L333" s="20" t="s">
        <v>17</v>
      </c>
    </row>
    <row r="334" spans="1:12" x14ac:dyDescent="0.25">
      <c r="A334" s="11">
        <v>2020</v>
      </c>
      <c r="B334" s="12" t="s">
        <v>12</v>
      </c>
      <c r="C334" s="12" t="s">
        <v>26</v>
      </c>
      <c r="D334" s="12" t="s">
        <v>24</v>
      </c>
      <c r="E334" s="13">
        <v>48484</v>
      </c>
      <c r="F334" s="14">
        <v>10752134.16</v>
      </c>
      <c r="G334" s="12">
        <v>3.75</v>
      </c>
      <c r="H334" s="12">
        <v>41.49</v>
      </c>
      <c r="I334" s="12">
        <v>10.67</v>
      </c>
      <c r="J334" s="12">
        <v>87.88</v>
      </c>
      <c r="K334" s="12">
        <v>79.09</v>
      </c>
      <c r="L334" s="15" t="s">
        <v>19</v>
      </c>
    </row>
    <row r="335" spans="1:12" x14ac:dyDescent="0.25">
      <c r="A335" s="16">
        <v>2020</v>
      </c>
      <c r="B335" s="17" t="s">
        <v>37</v>
      </c>
      <c r="C335" s="17" t="s">
        <v>28</v>
      </c>
      <c r="D335" s="17" t="s">
        <v>24</v>
      </c>
      <c r="E335" s="18">
        <v>52951</v>
      </c>
      <c r="F335" s="19">
        <v>13524137.65</v>
      </c>
      <c r="G335" s="17">
        <v>2.83</v>
      </c>
      <c r="H335" s="17">
        <v>73.069999999999993</v>
      </c>
      <c r="I335" s="17">
        <v>27.79</v>
      </c>
      <c r="J335" s="17">
        <v>52.85</v>
      </c>
      <c r="K335" s="17">
        <v>70.84</v>
      </c>
      <c r="L335" s="20" t="s">
        <v>27</v>
      </c>
    </row>
    <row r="336" spans="1:12" x14ac:dyDescent="0.25">
      <c r="A336" s="11">
        <v>2020</v>
      </c>
      <c r="B336" s="12" t="s">
        <v>35</v>
      </c>
      <c r="C336" s="12" t="s">
        <v>33</v>
      </c>
      <c r="D336" s="12" t="s">
        <v>24</v>
      </c>
      <c r="E336" s="13">
        <v>53896</v>
      </c>
      <c r="F336" s="14">
        <v>47982928.727999903</v>
      </c>
      <c r="G336" s="12">
        <v>3.17</v>
      </c>
      <c r="H336" s="12">
        <v>75.16</v>
      </c>
      <c r="I336" s="12">
        <v>22.74</v>
      </c>
      <c r="J336" s="12">
        <v>92.93</v>
      </c>
      <c r="K336" s="12">
        <v>86.89</v>
      </c>
      <c r="L336" s="15" t="s">
        <v>17</v>
      </c>
    </row>
    <row r="337" spans="1:12" x14ac:dyDescent="0.25">
      <c r="A337" s="16">
        <v>2020</v>
      </c>
      <c r="B337" s="17" t="s">
        <v>37</v>
      </c>
      <c r="C337" s="17" t="s">
        <v>31</v>
      </c>
      <c r="D337" s="17" t="s">
        <v>24</v>
      </c>
      <c r="E337" s="18">
        <v>11163</v>
      </c>
      <c r="F337" s="19">
        <v>12032304.635999899</v>
      </c>
      <c r="G337" s="17">
        <v>3.84</v>
      </c>
      <c r="H337" s="17">
        <v>40.71</v>
      </c>
      <c r="I337" s="17">
        <v>45.09</v>
      </c>
      <c r="J337" s="17">
        <v>122.22</v>
      </c>
      <c r="K337" s="17">
        <v>83.63</v>
      </c>
      <c r="L337" s="20" t="s">
        <v>21</v>
      </c>
    </row>
    <row r="338" spans="1:12" x14ac:dyDescent="0.25">
      <c r="A338" s="11">
        <v>2020</v>
      </c>
      <c r="B338" s="12" t="s">
        <v>12</v>
      </c>
      <c r="C338" s="12" t="s">
        <v>23</v>
      </c>
      <c r="D338" s="12" t="s">
        <v>24</v>
      </c>
      <c r="E338" s="13">
        <v>42883</v>
      </c>
      <c r="F338" s="14">
        <v>18588730.370000001</v>
      </c>
      <c r="G338" s="12">
        <v>6.37</v>
      </c>
      <c r="H338" s="12">
        <v>72.87</v>
      </c>
      <c r="I338" s="12">
        <v>45.86</v>
      </c>
      <c r="J338" s="12">
        <v>273.58999999999997</v>
      </c>
      <c r="K338" s="12">
        <v>52.9</v>
      </c>
      <c r="L338" s="15" t="s">
        <v>15</v>
      </c>
    </row>
    <row r="339" spans="1:12" x14ac:dyDescent="0.25">
      <c r="A339" s="16">
        <v>2020</v>
      </c>
      <c r="B339" s="17" t="s">
        <v>12</v>
      </c>
      <c r="C339" s="17" t="s">
        <v>30</v>
      </c>
      <c r="D339" s="17" t="s">
        <v>24</v>
      </c>
      <c r="E339" s="18">
        <v>40807</v>
      </c>
      <c r="F339" s="19">
        <v>28409469.32</v>
      </c>
      <c r="G339" s="17">
        <v>3.04</v>
      </c>
      <c r="H339" s="17">
        <v>47.56</v>
      </c>
      <c r="I339" s="17">
        <v>33.590000000000003</v>
      </c>
      <c r="J339" s="17">
        <v>95.38</v>
      </c>
      <c r="K339" s="17">
        <v>57.91</v>
      </c>
      <c r="L339" s="20" t="s">
        <v>17</v>
      </c>
    </row>
    <row r="340" spans="1:12" x14ac:dyDescent="0.25">
      <c r="A340" s="11">
        <v>2020</v>
      </c>
      <c r="B340" s="12" t="s">
        <v>37</v>
      </c>
      <c r="C340" s="12" t="s">
        <v>20</v>
      </c>
      <c r="D340" s="12" t="s">
        <v>14</v>
      </c>
      <c r="E340" s="13">
        <v>7473</v>
      </c>
      <c r="F340" s="14">
        <v>19621770.609999999</v>
      </c>
      <c r="G340" s="12">
        <v>3.88</v>
      </c>
      <c r="H340" s="12">
        <v>74.66</v>
      </c>
      <c r="I340" s="12">
        <v>27.55</v>
      </c>
      <c r="J340" s="12">
        <v>177.22</v>
      </c>
      <c r="K340" s="12">
        <v>72.36</v>
      </c>
      <c r="L340" s="15" t="s">
        <v>21</v>
      </c>
    </row>
    <row r="341" spans="1:12" x14ac:dyDescent="0.25">
      <c r="A341" s="16">
        <v>2021</v>
      </c>
      <c r="B341" s="17" t="s">
        <v>12</v>
      </c>
      <c r="C341" s="17" t="s">
        <v>13</v>
      </c>
      <c r="D341" s="17" t="s">
        <v>14</v>
      </c>
      <c r="E341" s="18">
        <v>44456</v>
      </c>
      <c r="F341" s="19">
        <v>14331275.99</v>
      </c>
      <c r="G341" s="17">
        <v>0.64999999999999902</v>
      </c>
      <c r="H341" s="17">
        <v>61.11</v>
      </c>
      <c r="I341" s="17">
        <v>40.369999999999997</v>
      </c>
      <c r="J341" s="17">
        <v>129.5</v>
      </c>
      <c r="K341" s="17">
        <v>66.930000000000007</v>
      </c>
      <c r="L341" s="20" t="s">
        <v>21</v>
      </c>
    </row>
    <row r="342" spans="1:12" x14ac:dyDescent="0.25">
      <c r="A342" s="11">
        <v>2021</v>
      </c>
      <c r="B342" s="12" t="s">
        <v>12</v>
      </c>
      <c r="C342" s="12" t="s">
        <v>16</v>
      </c>
      <c r="D342" s="12" t="s">
        <v>14</v>
      </c>
      <c r="E342" s="13">
        <v>6548</v>
      </c>
      <c r="F342" s="14">
        <v>54168172.520000003</v>
      </c>
      <c r="G342" s="12">
        <v>2.64</v>
      </c>
      <c r="H342" s="12">
        <v>63.01</v>
      </c>
      <c r="I342" s="12">
        <v>17.850000000000001</v>
      </c>
      <c r="J342" s="12">
        <v>279.58</v>
      </c>
      <c r="K342" s="12">
        <v>73.97</v>
      </c>
      <c r="L342" s="15" t="s">
        <v>27</v>
      </c>
    </row>
    <row r="343" spans="1:12" x14ac:dyDescent="0.25">
      <c r="A343" s="16">
        <v>2021</v>
      </c>
      <c r="B343" s="17" t="s">
        <v>12</v>
      </c>
      <c r="C343" s="17" t="s">
        <v>18</v>
      </c>
      <c r="D343" s="17" t="s">
        <v>14</v>
      </c>
      <c r="E343" s="18">
        <v>36129</v>
      </c>
      <c r="F343" s="19">
        <v>28657040.440000001</v>
      </c>
      <c r="G343" s="17">
        <v>0.49</v>
      </c>
      <c r="H343" s="17">
        <v>60.6</v>
      </c>
      <c r="I343" s="17">
        <v>1.5699999999999901</v>
      </c>
      <c r="J343" s="17">
        <v>209.38</v>
      </c>
      <c r="K343" s="17">
        <v>62.41</v>
      </c>
      <c r="L343" s="20" t="s">
        <v>19</v>
      </c>
    </row>
    <row r="344" spans="1:12" x14ac:dyDescent="0.25">
      <c r="A344" s="11">
        <v>2021</v>
      </c>
      <c r="B344" s="12" t="s">
        <v>12</v>
      </c>
      <c r="C344" s="12" t="s">
        <v>20</v>
      </c>
      <c r="D344" s="12" t="s">
        <v>14</v>
      </c>
      <c r="E344" s="13">
        <v>36476</v>
      </c>
      <c r="F344" s="14">
        <v>9769649.4360000007</v>
      </c>
      <c r="G344" s="12">
        <v>0.39999999999999902</v>
      </c>
      <c r="H344" s="12">
        <v>67.05</v>
      </c>
      <c r="I344" s="12">
        <v>29.96</v>
      </c>
      <c r="J344" s="12">
        <v>138.12</v>
      </c>
      <c r="K344" s="12">
        <v>52.54</v>
      </c>
      <c r="L344" s="15" t="s">
        <v>27</v>
      </c>
    </row>
    <row r="345" spans="1:12" x14ac:dyDescent="0.25">
      <c r="A345" s="16">
        <v>2021</v>
      </c>
      <c r="B345" s="17" t="s">
        <v>12</v>
      </c>
      <c r="C345" s="17" t="s">
        <v>22</v>
      </c>
      <c r="D345" s="17" t="s">
        <v>14</v>
      </c>
      <c r="E345" s="18">
        <v>34090</v>
      </c>
      <c r="F345" s="19">
        <v>7777936.3679999998</v>
      </c>
      <c r="G345" s="17">
        <v>3.54</v>
      </c>
      <c r="H345" s="17">
        <v>71.27</v>
      </c>
      <c r="I345" s="17">
        <v>41.68</v>
      </c>
      <c r="J345" s="17">
        <v>171.59</v>
      </c>
      <c r="K345" s="17">
        <v>50.17</v>
      </c>
      <c r="L345" s="20" t="s">
        <v>19</v>
      </c>
    </row>
    <row r="346" spans="1:12" x14ac:dyDescent="0.25">
      <c r="A346" s="11">
        <v>2021</v>
      </c>
      <c r="B346" s="12" t="s">
        <v>12</v>
      </c>
      <c r="C346" s="12" t="s">
        <v>23</v>
      </c>
      <c r="D346" s="12" t="s">
        <v>24</v>
      </c>
      <c r="E346" s="13">
        <v>30278</v>
      </c>
      <c r="F346" s="14">
        <v>12377641.48</v>
      </c>
      <c r="G346" s="12">
        <v>3.86</v>
      </c>
      <c r="H346" s="12">
        <v>40.51</v>
      </c>
      <c r="I346" s="12">
        <v>51.79</v>
      </c>
      <c r="J346" s="12">
        <v>184.8</v>
      </c>
      <c r="K346" s="12">
        <v>61.75</v>
      </c>
      <c r="L346" s="15" t="s">
        <v>19</v>
      </c>
    </row>
    <row r="347" spans="1:12" x14ac:dyDescent="0.25">
      <c r="A347" s="16">
        <v>2021</v>
      </c>
      <c r="B347" s="17" t="s">
        <v>12</v>
      </c>
      <c r="C347" s="17" t="s">
        <v>25</v>
      </c>
      <c r="D347" s="17" t="s">
        <v>24</v>
      </c>
      <c r="E347" s="18">
        <v>57898</v>
      </c>
      <c r="F347" s="19">
        <v>19848318.309999999</v>
      </c>
      <c r="G347" s="17">
        <v>4.43</v>
      </c>
      <c r="H347" s="17">
        <v>45.27</v>
      </c>
      <c r="I347" s="17">
        <v>23.12</v>
      </c>
      <c r="J347" s="17">
        <v>277.64999999999998</v>
      </c>
      <c r="K347" s="17">
        <v>55.07</v>
      </c>
      <c r="L347" s="20" t="s">
        <v>17</v>
      </c>
    </row>
    <row r="348" spans="1:12" x14ac:dyDescent="0.25">
      <c r="A348" s="11">
        <v>2021</v>
      </c>
      <c r="B348" s="12" t="s">
        <v>12</v>
      </c>
      <c r="C348" s="12" t="s">
        <v>26</v>
      </c>
      <c r="D348" s="12" t="s">
        <v>24</v>
      </c>
      <c r="E348" s="13">
        <v>44847</v>
      </c>
      <c r="F348" s="14">
        <v>14310727.310000001</v>
      </c>
      <c r="G348" s="12">
        <v>5.07</v>
      </c>
      <c r="H348" s="12">
        <v>66.56</v>
      </c>
      <c r="I348" s="12">
        <v>16.829999999999998</v>
      </c>
      <c r="J348" s="12">
        <v>97.53</v>
      </c>
      <c r="K348" s="12">
        <v>53.5</v>
      </c>
      <c r="L348" s="15" t="s">
        <v>27</v>
      </c>
    </row>
    <row r="349" spans="1:12" x14ac:dyDescent="0.25">
      <c r="A349" s="16">
        <v>2021</v>
      </c>
      <c r="B349" s="17" t="s">
        <v>12</v>
      </c>
      <c r="C349" s="17" t="s">
        <v>28</v>
      </c>
      <c r="D349" s="17" t="s">
        <v>24</v>
      </c>
      <c r="E349" s="18">
        <v>6557</v>
      </c>
      <c r="F349" s="19">
        <v>41433407.509999998</v>
      </c>
      <c r="G349" s="17">
        <v>2.69</v>
      </c>
      <c r="H349" s="17">
        <v>94.68</v>
      </c>
      <c r="I349" s="17">
        <v>54.35</v>
      </c>
      <c r="J349" s="17">
        <v>127.45</v>
      </c>
      <c r="K349" s="17">
        <v>85.11</v>
      </c>
      <c r="L349" s="20" t="s">
        <v>15</v>
      </c>
    </row>
    <row r="350" spans="1:12" x14ac:dyDescent="0.25">
      <c r="A350" s="11">
        <v>2021</v>
      </c>
      <c r="B350" s="12" t="s">
        <v>12</v>
      </c>
      <c r="C350" s="12" t="s">
        <v>29</v>
      </c>
      <c r="D350" s="12" t="s">
        <v>24</v>
      </c>
      <c r="E350" s="13">
        <v>58334</v>
      </c>
      <c r="F350" s="14">
        <v>67042799.399999999</v>
      </c>
      <c r="G350" s="12">
        <v>6.02</v>
      </c>
      <c r="H350" s="12">
        <v>90.08</v>
      </c>
      <c r="I350" s="12">
        <v>10.35</v>
      </c>
      <c r="J350" s="12">
        <v>102.66</v>
      </c>
      <c r="K350" s="12">
        <v>60.11</v>
      </c>
      <c r="L350" s="15" t="s">
        <v>27</v>
      </c>
    </row>
    <row r="351" spans="1:12" x14ac:dyDescent="0.25">
      <c r="A351" s="16">
        <v>2021</v>
      </c>
      <c r="B351" s="17" t="s">
        <v>12</v>
      </c>
      <c r="C351" s="17" t="s">
        <v>30</v>
      </c>
      <c r="D351" s="17" t="s">
        <v>24</v>
      </c>
      <c r="E351" s="18">
        <v>42025</v>
      </c>
      <c r="F351" s="19">
        <v>46339655.030000001</v>
      </c>
      <c r="G351" s="17">
        <v>4.66</v>
      </c>
      <c r="H351" s="17">
        <v>82.85</v>
      </c>
      <c r="I351" s="17">
        <v>36.11</v>
      </c>
      <c r="J351" s="17">
        <v>176.96</v>
      </c>
      <c r="K351" s="17">
        <v>71.11</v>
      </c>
      <c r="L351" s="20" t="s">
        <v>21</v>
      </c>
    </row>
    <row r="352" spans="1:12" x14ac:dyDescent="0.25">
      <c r="A352" s="11">
        <v>2021</v>
      </c>
      <c r="B352" s="12" t="s">
        <v>12</v>
      </c>
      <c r="C352" s="12" t="s">
        <v>31</v>
      </c>
      <c r="D352" s="12" t="s">
        <v>24</v>
      </c>
      <c r="E352" s="13">
        <v>8612</v>
      </c>
      <c r="F352" s="14">
        <v>30287874.850000001</v>
      </c>
      <c r="G352" s="12">
        <v>3.62</v>
      </c>
      <c r="H352" s="12">
        <v>54.88</v>
      </c>
      <c r="I352" s="12">
        <v>52.25</v>
      </c>
      <c r="J352" s="12">
        <v>288.87</v>
      </c>
      <c r="K352" s="12">
        <v>72.55</v>
      </c>
      <c r="L352" s="15" t="s">
        <v>15</v>
      </c>
    </row>
    <row r="353" spans="1:12" x14ac:dyDescent="0.25">
      <c r="A353" s="16">
        <v>2021</v>
      </c>
      <c r="B353" s="17" t="s">
        <v>12</v>
      </c>
      <c r="C353" s="17" t="s">
        <v>32</v>
      </c>
      <c r="D353" s="17" t="s">
        <v>24</v>
      </c>
      <c r="E353" s="18">
        <v>33689</v>
      </c>
      <c r="F353" s="19">
        <v>37582037.579999998</v>
      </c>
      <c r="G353" s="17">
        <v>6.06</v>
      </c>
      <c r="H353" s="17">
        <v>97.44</v>
      </c>
      <c r="I353" s="17">
        <v>25.59</v>
      </c>
      <c r="J353" s="17">
        <v>133.77000000000001</v>
      </c>
      <c r="K353" s="17">
        <v>92.93</v>
      </c>
      <c r="L353" s="20" t="s">
        <v>27</v>
      </c>
    </row>
    <row r="354" spans="1:12" x14ac:dyDescent="0.25">
      <c r="A354" s="11">
        <v>2021</v>
      </c>
      <c r="B354" s="12" t="s">
        <v>12</v>
      </c>
      <c r="C354" s="12" t="s">
        <v>33</v>
      </c>
      <c r="D354" s="12" t="s">
        <v>24</v>
      </c>
      <c r="E354" s="13">
        <v>60093</v>
      </c>
      <c r="F354" s="14">
        <v>79592293.1639999</v>
      </c>
      <c r="G354" s="12">
        <v>3.24</v>
      </c>
      <c r="H354" s="12">
        <v>68.56</v>
      </c>
      <c r="I354" s="12">
        <v>48.17</v>
      </c>
      <c r="J354" s="12">
        <v>130.83000000000001</v>
      </c>
      <c r="K354" s="12">
        <v>75.69</v>
      </c>
      <c r="L354" s="15" t="s">
        <v>17</v>
      </c>
    </row>
    <row r="355" spans="1:12" x14ac:dyDescent="0.25">
      <c r="A355" s="16">
        <v>2021</v>
      </c>
      <c r="B355" s="17" t="s">
        <v>12</v>
      </c>
      <c r="C355" s="17" t="s">
        <v>34</v>
      </c>
      <c r="D355" s="17" t="s">
        <v>24</v>
      </c>
      <c r="E355" s="18">
        <v>50612</v>
      </c>
      <c r="F355" s="19">
        <v>24547804.329999998</v>
      </c>
      <c r="G355" s="17">
        <v>4.38</v>
      </c>
      <c r="H355" s="17">
        <v>76.13</v>
      </c>
      <c r="I355" s="17">
        <v>16.43</v>
      </c>
      <c r="J355" s="17">
        <v>58.21</v>
      </c>
      <c r="K355" s="17">
        <v>60.85</v>
      </c>
      <c r="L355" s="20" t="s">
        <v>15</v>
      </c>
    </row>
    <row r="356" spans="1:12" x14ac:dyDescent="0.25">
      <c r="A356" s="11">
        <v>2021</v>
      </c>
      <c r="B356" s="12" t="s">
        <v>35</v>
      </c>
      <c r="C356" s="12" t="s">
        <v>13</v>
      </c>
      <c r="D356" s="12" t="s">
        <v>14</v>
      </c>
      <c r="E356" s="13">
        <v>33392</v>
      </c>
      <c r="F356" s="14">
        <v>40200175.950000003</v>
      </c>
      <c r="G356" s="12">
        <v>-0.14000000000000001</v>
      </c>
      <c r="H356" s="12">
        <v>69.319999999999993</v>
      </c>
      <c r="I356" s="12">
        <v>24.76</v>
      </c>
      <c r="J356" s="12">
        <v>255.14</v>
      </c>
      <c r="K356" s="12">
        <v>39.33</v>
      </c>
      <c r="L356" s="15" t="s">
        <v>21</v>
      </c>
    </row>
    <row r="357" spans="1:12" x14ac:dyDescent="0.25">
      <c r="A357" s="16">
        <v>2021</v>
      </c>
      <c r="B357" s="17" t="s">
        <v>35</v>
      </c>
      <c r="C357" s="17" t="s">
        <v>16</v>
      </c>
      <c r="D357" s="17" t="s">
        <v>14</v>
      </c>
      <c r="E357" s="18">
        <v>20351</v>
      </c>
      <c r="F357" s="19">
        <v>10720475.02</v>
      </c>
      <c r="G357" s="17">
        <v>3.45</v>
      </c>
      <c r="H357" s="17">
        <v>77.709999999999994</v>
      </c>
      <c r="I357" s="17">
        <v>3.3</v>
      </c>
      <c r="J357" s="17">
        <v>285.13</v>
      </c>
      <c r="K357" s="17">
        <v>73.56</v>
      </c>
      <c r="L357" s="20" t="s">
        <v>21</v>
      </c>
    </row>
    <row r="358" spans="1:12" x14ac:dyDescent="0.25">
      <c r="A358" s="11">
        <v>2021</v>
      </c>
      <c r="B358" s="12" t="s">
        <v>35</v>
      </c>
      <c r="C358" s="12" t="s">
        <v>18</v>
      </c>
      <c r="D358" s="12" t="s">
        <v>14</v>
      </c>
      <c r="E358" s="13">
        <v>9689</v>
      </c>
      <c r="F358" s="14">
        <v>18237818.16</v>
      </c>
      <c r="G358" s="12">
        <v>-0.39</v>
      </c>
      <c r="H358" s="12">
        <v>45.74</v>
      </c>
      <c r="I358" s="12">
        <v>39.58</v>
      </c>
      <c r="J358" s="12">
        <v>291.06</v>
      </c>
      <c r="K358" s="12">
        <v>65.819999999999993</v>
      </c>
      <c r="L358" s="15" t="s">
        <v>21</v>
      </c>
    </row>
    <row r="359" spans="1:12" x14ac:dyDescent="0.25">
      <c r="A359" s="16">
        <v>2021</v>
      </c>
      <c r="B359" s="17" t="s">
        <v>35</v>
      </c>
      <c r="C359" s="17" t="s">
        <v>20</v>
      </c>
      <c r="D359" s="17" t="s">
        <v>14</v>
      </c>
      <c r="E359" s="18">
        <v>19360</v>
      </c>
      <c r="F359" s="19">
        <v>21067765.940000001</v>
      </c>
      <c r="G359" s="17">
        <v>0.71</v>
      </c>
      <c r="H359" s="17">
        <v>72.25</v>
      </c>
      <c r="I359" s="17">
        <v>24.64</v>
      </c>
      <c r="J359" s="17">
        <v>119.68</v>
      </c>
      <c r="K359" s="17">
        <v>71.099999999999994</v>
      </c>
      <c r="L359" s="20" t="s">
        <v>17</v>
      </c>
    </row>
    <row r="360" spans="1:12" x14ac:dyDescent="0.25">
      <c r="A360" s="11">
        <v>2021</v>
      </c>
      <c r="B360" s="12" t="s">
        <v>35</v>
      </c>
      <c r="C360" s="12" t="s">
        <v>22</v>
      </c>
      <c r="D360" s="12" t="s">
        <v>14</v>
      </c>
      <c r="E360" s="13">
        <v>41937</v>
      </c>
      <c r="F360" s="14">
        <v>10442280.66</v>
      </c>
      <c r="G360" s="12">
        <v>-0.2</v>
      </c>
      <c r="H360" s="12">
        <v>67</v>
      </c>
      <c r="I360" s="12">
        <v>23.33</v>
      </c>
      <c r="J360" s="12">
        <v>106.63</v>
      </c>
      <c r="K360" s="12">
        <v>42.6</v>
      </c>
      <c r="L360" s="15" t="s">
        <v>15</v>
      </c>
    </row>
    <row r="361" spans="1:12" x14ac:dyDescent="0.25">
      <c r="A361" s="16">
        <v>2021</v>
      </c>
      <c r="B361" s="17" t="s">
        <v>35</v>
      </c>
      <c r="C361" s="17" t="s">
        <v>23</v>
      </c>
      <c r="D361" s="17" t="s">
        <v>24</v>
      </c>
      <c r="E361" s="18">
        <v>26634</v>
      </c>
      <c r="F361" s="19">
        <v>17977115.149999999</v>
      </c>
      <c r="G361" s="17">
        <v>2.97</v>
      </c>
      <c r="H361" s="17">
        <v>45.93</v>
      </c>
      <c r="I361" s="17">
        <v>52.08</v>
      </c>
      <c r="J361" s="17">
        <v>238.86</v>
      </c>
      <c r="K361" s="17">
        <v>74.08</v>
      </c>
      <c r="L361" s="20" t="s">
        <v>19</v>
      </c>
    </row>
    <row r="362" spans="1:12" x14ac:dyDescent="0.25">
      <c r="A362" s="11">
        <v>2021</v>
      </c>
      <c r="B362" s="12" t="s">
        <v>35</v>
      </c>
      <c r="C362" s="12" t="s">
        <v>25</v>
      </c>
      <c r="D362" s="12" t="s">
        <v>24</v>
      </c>
      <c r="E362" s="13">
        <v>36653</v>
      </c>
      <c r="F362" s="14">
        <v>38555751.189999998</v>
      </c>
      <c r="G362" s="12">
        <v>4.34</v>
      </c>
      <c r="H362" s="12">
        <v>88.65</v>
      </c>
      <c r="I362" s="12">
        <v>27.12</v>
      </c>
      <c r="J362" s="12">
        <v>280.3</v>
      </c>
      <c r="K362" s="12">
        <v>66</v>
      </c>
      <c r="L362" s="15" t="s">
        <v>19</v>
      </c>
    </row>
    <row r="363" spans="1:12" x14ac:dyDescent="0.25">
      <c r="A363" s="16">
        <v>2021</v>
      </c>
      <c r="B363" s="17" t="s">
        <v>35</v>
      </c>
      <c r="C363" s="17" t="s">
        <v>26</v>
      </c>
      <c r="D363" s="17" t="s">
        <v>24</v>
      </c>
      <c r="E363" s="18">
        <v>61958</v>
      </c>
      <c r="F363" s="19">
        <v>56094433.859999903</v>
      </c>
      <c r="G363" s="17">
        <v>4.58</v>
      </c>
      <c r="H363" s="17">
        <v>59.36</v>
      </c>
      <c r="I363" s="17">
        <v>24.48</v>
      </c>
      <c r="J363" s="17">
        <v>62.63</v>
      </c>
      <c r="K363" s="17">
        <v>92.83</v>
      </c>
      <c r="L363" s="20" t="s">
        <v>15</v>
      </c>
    </row>
    <row r="364" spans="1:12" x14ac:dyDescent="0.25">
      <c r="A364" s="11">
        <v>2021</v>
      </c>
      <c r="B364" s="12" t="s">
        <v>35</v>
      </c>
      <c r="C364" s="12" t="s">
        <v>28</v>
      </c>
      <c r="D364" s="12" t="s">
        <v>24</v>
      </c>
      <c r="E364" s="13">
        <v>6501</v>
      </c>
      <c r="F364" s="14">
        <v>38321092.719999999</v>
      </c>
      <c r="G364" s="12">
        <v>5.2799999999999896</v>
      </c>
      <c r="H364" s="12">
        <v>74.459999999999994</v>
      </c>
      <c r="I364" s="12">
        <v>32.11</v>
      </c>
      <c r="J364" s="12">
        <v>93.6</v>
      </c>
      <c r="K364" s="12">
        <v>93.25</v>
      </c>
      <c r="L364" s="15" t="s">
        <v>17</v>
      </c>
    </row>
    <row r="365" spans="1:12" x14ac:dyDescent="0.25">
      <c r="A365" s="16">
        <v>2021</v>
      </c>
      <c r="B365" s="17" t="s">
        <v>35</v>
      </c>
      <c r="C365" s="17" t="s">
        <v>29</v>
      </c>
      <c r="D365" s="17" t="s">
        <v>24</v>
      </c>
      <c r="E365" s="18">
        <v>31267</v>
      </c>
      <c r="F365" s="19">
        <v>31015491.109999999</v>
      </c>
      <c r="G365" s="17">
        <v>3.11</v>
      </c>
      <c r="H365" s="17">
        <v>75.22</v>
      </c>
      <c r="I365" s="17">
        <v>36.29</v>
      </c>
      <c r="J365" s="17">
        <v>75.66</v>
      </c>
      <c r="K365" s="17">
        <v>48.08</v>
      </c>
      <c r="L365" s="20" t="s">
        <v>27</v>
      </c>
    </row>
    <row r="366" spans="1:12" x14ac:dyDescent="0.25">
      <c r="A366" s="11">
        <v>2021</v>
      </c>
      <c r="B366" s="12" t="s">
        <v>35</v>
      </c>
      <c r="C366" s="12" t="s">
        <v>30</v>
      </c>
      <c r="D366" s="12" t="s">
        <v>24</v>
      </c>
      <c r="E366" s="13">
        <v>27446</v>
      </c>
      <c r="F366" s="14">
        <v>66537700.595999897</v>
      </c>
      <c r="G366" s="12">
        <v>5.89</v>
      </c>
      <c r="H366" s="12">
        <v>93.07</v>
      </c>
      <c r="I366" s="12">
        <v>25.38</v>
      </c>
      <c r="J366" s="12">
        <v>199.61</v>
      </c>
      <c r="K366" s="12">
        <v>89.51</v>
      </c>
      <c r="L366" s="15" t="s">
        <v>21</v>
      </c>
    </row>
    <row r="367" spans="1:12" x14ac:dyDescent="0.25">
      <c r="A367" s="16">
        <v>2021</v>
      </c>
      <c r="B367" s="17" t="s">
        <v>35</v>
      </c>
      <c r="C367" s="17" t="s">
        <v>31</v>
      </c>
      <c r="D367" s="17" t="s">
        <v>24</v>
      </c>
      <c r="E367" s="18">
        <v>60479</v>
      </c>
      <c r="F367" s="19">
        <v>80946999.2519999</v>
      </c>
      <c r="G367" s="17">
        <v>4.3599999999999897</v>
      </c>
      <c r="H367" s="17">
        <v>41.23</v>
      </c>
      <c r="I367" s="17">
        <v>45.34</v>
      </c>
      <c r="J367" s="17">
        <v>215.46</v>
      </c>
      <c r="K367" s="17">
        <v>49.82</v>
      </c>
      <c r="L367" s="20" t="s">
        <v>17</v>
      </c>
    </row>
    <row r="368" spans="1:12" x14ac:dyDescent="0.25">
      <c r="A368" s="11">
        <v>2021</v>
      </c>
      <c r="B368" s="12" t="s">
        <v>35</v>
      </c>
      <c r="C368" s="12" t="s">
        <v>32</v>
      </c>
      <c r="D368" s="12" t="s">
        <v>24</v>
      </c>
      <c r="E368" s="13">
        <v>33576</v>
      </c>
      <c r="F368" s="14">
        <v>15758344.550000001</v>
      </c>
      <c r="G368" s="12">
        <v>6.65</v>
      </c>
      <c r="H368" s="12">
        <v>73.37</v>
      </c>
      <c r="I368" s="12">
        <v>14.85</v>
      </c>
      <c r="J368" s="12">
        <v>69.650000000000006</v>
      </c>
      <c r="K368" s="12">
        <v>58.52</v>
      </c>
      <c r="L368" s="15" t="s">
        <v>27</v>
      </c>
    </row>
    <row r="369" spans="1:12" x14ac:dyDescent="0.25">
      <c r="A369" s="16">
        <v>2021</v>
      </c>
      <c r="B369" s="17" t="s">
        <v>35</v>
      </c>
      <c r="C369" s="17" t="s">
        <v>33</v>
      </c>
      <c r="D369" s="17" t="s">
        <v>24</v>
      </c>
      <c r="E369" s="18">
        <v>53719</v>
      </c>
      <c r="F369" s="19">
        <v>32766472.260000002</v>
      </c>
      <c r="G369" s="17">
        <v>2.82</v>
      </c>
      <c r="H369" s="17">
        <v>96.44</v>
      </c>
      <c r="I369" s="17">
        <v>40.479999999999997</v>
      </c>
      <c r="J369" s="17">
        <v>160.44999999999999</v>
      </c>
      <c r="K369" s="17">
        <v>71.77</v>
      </c>
      <c r="L369" s="20" t="s">
        <v>17</v>
      </c>
    </row>
    <row r="370" spans="1:12" x14ac:dyDescent="0.25">
      <c r="A370" s="11">
        <v>2021</v>
      </c>
      <c r="B370" s="12" t="s">
        <v>35</v>
      </c>
      <c r="C370" s="12" t="s">
        <v>34</v>
      </c>
      <c r="D370" s="12" t="s">
        <v>24</v>
      </c>
      <c r="E370" s="13">
        <v>34710</v>
      </c>
      <c r="F370" s="14">
        <v>17998844.949999999</v>
      </c>
      <c r="G370" s="12">
        <v>5.2799999999999896</v>
      </c>
      <c r="H370" s="12">
        <v>61.27</v>
      </c>
      <c r="I370" s="12">
        <v>11.75</v>
      </c>
      <c r="J370" s="12">
        <v>237.56</v>
      </c>
      <c r="K370" s="12">
        <v>76.8</v>
      </c>
      <c r="L370" s="15" t="s">
        <v>19</v>
      </c>
    </row>
    <row r="371" spans="1:12" x14ac:dyDescent="0.25">
      <c r="A371" s="16">
        <v>2021</v>
      </c>
      <c r="B371" s="17" t="s">
        <v>36</v>
      </c>
      <c r="C371" s="17" t="s">
        <v>13</v>
      </c>
      <c r="D371" s="17" t="s">
        <v>14</v>
      </c>
      <c r="E371" s="18">
        <v>39031</v>
      </c>
      <c r="F371" s="19">
        <v>18608941.010000002</v>
      </c>
      <c r="G371" s="17">
        <v>3.81</v>
      </c>
      <c r="H371" s="17">
        <v>33.54</v>
      </c>
      <c r="I371" s="17">
        <v>15.3</v>
      </c>
      <c r="J371" s="17">
        <v>107.98</v>
      </c>
      <c r="K371" s="17">
        <v>58.3</v>
      </c>
      <c r="L371" s="20" t="s">
        <v>15</v>
      </c>
    </row>
    <row r="372" spans="1:12" x14ac:dyDescent="0.25">
      <c r="A372" s="11">
        <v>2021</v>
      </c>
      <c r="B372" s="12" t="s">
        <v>36</v>
      </c>
      <c r="C372" s="12" t="s">
        <v>16</v>
      </c>
      <c r="D372" s="12" t="s">
        <v>14</v>
      </c>
      <c r="E372" s="13">
        <v>34903</v>
      </c>
      <c r="F372" s="14">
        <v>18518248.489999998</v>
      </c>
      <c r="G372" s="12">
        <v>2.0499999999999998</v>
      </c>
      <c r="H372" s="12">
        <v>53.32</v>
      </c>
      <c r="I372" s="12">
        <v>5.41</v>
      </c>
      <c r="J372" s="12">
        <v>217.97</v>
      </c>
      <c r="K372" s="12">
        <v>54.81</v>
      </c>
      <c r="L372" s="15" t="s">
        <v>27</v>
      </c>
    </row>
    <row r="373" spans="1:12" x14ac:dyDescent="0.25">
      <c r="A373" s="16">
        <v>2021</v>
      </c>
      <c r="B373" s="17" t="s">
        <v>36</v>
      </c>
      <c r="C373" s="17" t="s">
        <v>18</v>
      </c>
      <c r="D373" s="17" t="s">
        <v>14</v>
      </c>
      <c r="E373" s="18">
        <v>35996</v>
      </c>
      <c r="F373" s="19">
        <v>23537405.350000001</v>
      </c>
      <c r="G373" s="17">
        <v>3.53</v>
      </c>
      <c r="H373" s="17">
        <v>37.57</v>
      </c>
      <c r="I373" s="17">
        <v>31.68</v>
      </c>
      <c r="J373" s="17">
        <v>291.12</v>
      </c>
      <c r="K373" s="17">
        <v>85.21</v>
      </c>
      <c r="L373" s="20" t="s">
        <v>17</v>
      </c>
    </row>
    <row r="374" spans="1:12" x14ac:dyDescent="0.25">
      <c r="A374" s="11">
        <v>2021</v>
      </c>
      <c r="B374" s="12" t="s">
        <v>36</v>
      </c>
      <c r="C374" s="12" t="s">
        <v>20</v>
      </c>
      <c r="D374" s="12" t="s">
        <v>14</v>
      </c>
      <c r="E374" s="13">
        <v>42820</v>
      </c>
      <c r="F374" s="14">
        <v>29532856.460000001</v>
      </c>
      <c r="G374" s="12">
        <v>-0.47</v>
      </c>
      <c r="H374" s="12">
        <v>68.239999999999995</v>
      </c>
      <c r="I374" s="12">
        <v>19.11</v>
      </c>
      <c r="J374" s="12">
        <v>188.16</v>
      </c>
      <c r="K374" s="12">
        <v>46.5</v>
      </c>
      <c r="L374" s="15" t="s">
        <v>17</v>
      </c>
    </row>
    <row r="375" spans="1:12" x14ac:dyDescent="0.25">
      <c r="A375" s="16">
        <v>2021</v>
      </c>
      <c r="B375" s="17" t="s">
        <v>36</v>
      </c>
      <c r="C375" s="17" t="s">
        <v>22</v>
      </c>
      <c r="D375" s="17" t="s">
        <v>14</v>
      </c>
      <c r="E375" s="18">
        <v>28881</v>
      </c>
      <c r="F375" s="19">
        <v>21441364.649999999</v>
      </c>
      <c r="G375" s="17">
        <v>0.65999999999999903</v>
      </c>
      <c r="H375" s="17">
        <v>41.69</v>
      </c>
      <c r="I375" s="17">
        <v>44.53</v>
      </c>
      <c r="J375" s="17">
        <v>269.38</v>
      </c>
      <c r="K375" s="17">
        <v>59.06</v>
      </c>
      <c r="L375" s="20" t="s">
        <v>19</v>
      </c>
    </row>
    <row r="376" spans="1:12" x14ac:dyDescent="0.25">
      <c r="A376" s="11">
        <v>2021</v>
      </c>
      <c r="B376" s="12" t="s">
        <v>36</v>
      </c>
      <c r="C376" s="12" t="s">
        <v>23</v>
      </c>
      <c r="D376" s="12" t="s">
        <v>24</v>
      </c>
      <c r="E376" s="13">
        <v>55419</v>
      </c>
      <c r="F376" s="14">
        <v>10737537.960000001</v>
      </c>
      <c r="G376" s="12">
        <v>2.59</v>
      </c>
      <c r="H376" s="12">
        <v>68.8</v>
      </c>
      <c r="I376" s="12">
        <v>35.979999999999997</v>
      </c>
      <c r="J376" s="12">
        <v>196.85</v>
      </c>
      <c r="K376" s="12">
        <v>72.959999999999994</v>
      </c>
      <c r="L376" s="15" t="s">
        <v>19</v>
      </c>
    </row>
    <row r="377" spans="1:12" x14ac:dyDescent="0.25">
      <c r="A377" s="16">
        <v>2021</v>
      </c>
      <c r="B377" s="17" t="s">
        <v>36</v>
      </c>
      <c r="C377" s="17" t="s">
        <v>25</v>
      </c>
      <c r="D377" s="17" t="s">
        <v>24</v>
      </c>
      <c r="E377" s="18">
        <v>7872</v>
      </c>
      <c r="F377" s="19">
        <v>5221237.3320000004</v>
      </c>
      <c r="G377" s="17">
        <v>4.1099999999999897</v>
      </c>
      <c r="H377" s="17">
        <v>54.57</v>
      </c>
      <c r="I377" s="17">
        <v>44.85</v>
      </c>
      <c r="J377" s="17">
        <v>202.32</v>
      </c>
      <c r="K377" s="17">
        <v>88.65</v>
      </c>
      <c r="L377" s="20" t="s">
        <v>27</v>
      </c>
    </row>
    <row r="378" spans="1:12" x14ac:dyDescent="0.25">
      <c r="A378" s="11">
        <v>2021</v>
      </c>
      <c r="B378" s="12" t="s">
        <v>36</v>
      </c>
      <c r="C378" s="12" t="s">
        <v>26</v>
      </c>
      <c r="D378" s="12" t="s">
        <v>24</v>
      </c>
      <c r="E378" s="13">
        <v>24758</v>
      </c>
      <c r="F378" s="14">
        <v>51101597.950000003</v>
      </c>
      <c r="G378" s="12">
        <v>4.72</v>
      </c>
      <c r="H378" s="12">
        <v>98.62</v>
      </c>
      <c r="I378" s="12">
        <v>35.629999999999903</v>
      </c>
      <c r="J378" s="12">
        <v>259.73</v>
      </c>
      <c r="K378" s="12">
        <v>81.14</v>
      </c>
      <c r="L378" s="15" t="s">
        <v>19</v>
      </c>
    </row>
    <row r="379" spans="1:12" x14ac:dyDescent="0.25">
      <c r="A379" s="16">
        <v>2021</v>
      </c>
      <c r="B379" s="17" t="s">
        <v>36</v>
      </c>
      <c r="C379" s="17" t="s">
        <v>28</v>
      </c>
      <c r="D379" s="17" t="s">
        <v>24</v>
      </c>
      <c r="E379" s="18">
        <v>50384</v>
      </c>
      <c r="F379" s="19">
        <v>16798329.649999999</v>
      </c>
      <c r="G379" s="17">
        <v>4.3599999999999897</v>
      </c>
      <c r="H379" s="17">
        <v>89.43</v>
      </c>
      <c r="I379" s="17">
        <v>51.51</v>
      </c>
      <c r="J379" s="17">
        <v>132.01</v>
      </c>
      <c r="K379" s="17">
        <v>80.989999999999995</v>
      </c>
      <c r="L379" s="20" t="s">
        <v>15</v>
      </c>
    </row>
    <row r="380" spans="1:12" x14ac:dyDescent="0.25">
      <c r="A380" s="11">
        <v>2021</v>
      </c>
      <c r="B380" s="12" t="s">
        <v>36</v>
      </c>
      <c r="C380" s="12" t="s">
        <v>29</v>
      </c>
      <c r="D380" s="12" t="s">
        <v>24</v>
      </c>
      <c r="E380" s="13">
        <v>8281</v>
      </c>
      <c r="F380" s="14">
        <v>15827206.449999999</v>
      </c>
      <c r="G380" s="12">
        <v>2.87</v>
      </c>
      <c r="H380" s="12">
        <v>97.24</v>
      </c>
      <c r="I380" s="12">
        <v>49.02</v>
      </c>
      <c r="J380" s="12">
        <v>297.81</v>
      </c>
      <c r="K380" s="12">
        <v>77.33</v>
      </c>
      <c r="L380" s="15" t="s">
        <v>21</v>
      </c>
    </row>
    <row r="381" spans="1:12" x14ac:dyDescent="0.25">
      <c r="A381" s="16">
        <v>2021</v>
      </c>
      <c r="B381" s="17" t="s">
        <v>36</v>
      </c>
      <c r="C381" s="17" t="s">
        <v>30</v>
      </c>
      <c r="D381" s="17" t="s">
        <v>24</v>
      </c>
      <c r="E381" s="18">
        <v>54330</v>
      </c>
      <c r="F381" s="19">
        <v>37269680.390000001</v>
      </c>
      <c r="G381" s="17">
        <v>6.02</v>
      </c>
      <c r="H381" s="17">
        <v>48.4</v>
      </c>
      <c r="I381" s="17">
        <v>15.34</v>
      </c>
      <c r="J381" s="17">
        <v>212.64</v>
      </c>
      <c r="K381" s="17">
        <v>88.87</v>
      </c>
      <c r="L381" s="20" t="s">
        <v>19</v>
      </c>
    </row>
    <row r="382" spans="1:12" x14ac:dyDescent="0.25">
      <c r="A382" s="11">
        <v>2021</v>
      </c>
      <c r="B382" s="12" t="s">
        <v>36</v>
      </c>
      <c r="C382" s="12" t="s">
        <v>31</v>
      </c>
      <c r="D382" s="12" t="s">
        <v>24</v>
      </c>
      <c r="E382" s="13">
        <v>32683</v>
      </c>
      <c r="F382" s="14">
        <v>17951923.895999901</v>
      </c>
      <c r="G382" s="12">
        <v>4.8599999999999897</v>
      </c>
      <c r="H382" s="12">
        <v>53.85</v>
      </c>
      <c r="I382" s="12">
        <v>21.86</v>
      </c>
      <c r="J382" s="12">
        <v>99.2</v>
      </c>
      <c r="K382" s="12">
        <v>71.55</v>
      </c>
      <c r="L382" s="15" t="s">
        <v>27</v>
      </c>
    </row>
    <row r="383" spans="1:12" x14ac:dyDescent="0.25">
      <c r="A383" s="16">
        <v>2021</v>
      </c>
      <c r="B383" s="17" t="s">
        <v>36</v>
      </c>
      <c r="C383" s="17" t="s">
        <v>32</v>
      </c>
      <c r="D383" s="17" t="s">
        <v>24</v>
      </c>
      <c r="E383" s="18">
        <v>58052</v>
      </c>
      <c r="F383" s="19">
        <v>45303231.340000004</v>
      </c>
      <c r="G383" s="17">
        <v>5.93</v>
      </c>
      <c r="H383" s="17">
        <v>82.65</v>
      </c>
      <c r="I383" s="17">
        <v>33.54</v>
      </c>
      <c r="J383" s="17">
        <v>271.18</v>
      </c>
      <c r="K383" s="17">
        <v>90.26</v>
      </c>
      <c r="L383" s="20" t="s">
        <v>15</v>
      </c>
    </row>
    <row r="384" spans="1:12" x14ac:dyDescent="0.25">
      <c r="A384" s="11">
        <v>2021</v>
      </c>
      <c r="B384" s="12" t="s">
        <v>36</v>
      </c>
      <c r="C384" s="12" t="s">
        <v>33</v>
      </c>
      <c r="D384" s="12" t="s">
        <v>24</v>
      </c>
      <c r="E384" s="13">
        <v>28022</v>
      </c>
      <c r="F384" s="14">
        <v>33044277.48</v>
      </c>
      <c r="G384" s="12">
        <v>3.7</v>
      </c>
      <c r="H384" s="12">
        <v>91.77</v>
      </c>
      <c r="I384" s="12">
        <v>8.11</v>
      </c>
      <c r="J384" s="12">
        <v>274.8</v>
      </c>
      <c r="K384" s="12">
        <v>87</v>
      </c>
      <c r="L384" s="15" t="s">
        <v>27</v>
      </c>
    </row>
    <row r="385" spans="1:12" x14ac:dyDescent="0.25">
      <c r="A385" s="16">
        <v>2021</v>
      </c>
      <c r="B385" s="17" t="s">
        <v>36</v>
      </c>
      <c r="C385" s="17" t="s">
        <v>34</v>
      </c>
      <c r="D385" s="17" t="s">
        <v>24</v>
      </c>
      <c r="E385" s="18">
        <v>55987</v>
      </c>
      <c r="F385" s="19">
        <v>5330566.68</v>
      </c>
      <c r="G385" s="17">
        <v>2.81</v>
      </c>
      <c r="H385" s="17">
        <v>47.52</v>
      </c>
      <c r="I385" s="17">
        <v>46.97</v>
      </c>
      <c r="J385" s="17">
        <v>166.12</v>
      </c>
      <c r="K385" s="17">
        <v>82.49</v>
      </c>
      <c r="L385" s="20" t="s">
        <v>15</v>
      </c>
    </row>
    <row r="386" spans="1:12" x14ac:dyDescent="0.25">
      <c r="A386" s="11">
        <v>2021</v>
      </c>
      <c r="B386" s="12" t="s">
        <v>37</v>
      </c>
      <c r="C386" s="12" t="s">
        <v>13</v>
      </c>
      <c r="D386" s="12" t="s">
        <v>14</v>
      </c>
      <c r="E386" s="13">
        <v>5309</v>
      </c>
      <c r="F386" s="14">
        <v>30375439.559999999</v>
      </c>
      <c r="G386" s="12">
        <v>-0.17</v>
      </c>
      <c r="H386" s="12">
        <v>38.35</v>
      </c>
      <c r="I386" s="12">
        <v>33.49</v>
      </c>
      <c r="J386" s="12">
        <v>297.3</v>
      </c>
      <c r="K386" s="12">
        <v>66.819999999999993</v>
      </c>
      <c r="L386" s="15" t="s">
        <v>15</v>
      </c>
    </row>
    <row r="387" spans="1:12" x14ac:dyDescent="0.25">
      <c r="A387" s="16">
        <v>2021</v>
      </c>
      <c r="B387" s="17" t="s">
        <v>37</v>
      </c>
      <c r="C387" s="17" t="s">
        <v>16</v>
      </c>
      <c r="D387" s="17" t="s">
        <v>14</v>
      </c>
      <c r="E387" s="18">
        <v>39415</v>
      </c>
      <c r="F387" s="19">
        <v>15774523.4</v>
      </c>
      <c r="G387" s="17">
        <v>3.44</v>
      </c>
      <c r="H387" s="17">
        <v>72.400000000000006</v>
      </c>
      <c r="I387" s="17">
        <v>38.090000000000003</v>
      </c>
      <c r="J387" s="17">
        <v>242.8</v>
      </c>
      <c r="K387" s="17">
        <v>86.48</v>
      </c>
      <c r="L387" s="20" t="s">
        <v>21</v>
      </c>
    </row>
    <row r="388" spans="1:12" x14ac:dyDescent="0.25">
      <c r="A388" s="11">
        <v>2021</v>
      </c>
      <c r="B388" s="12" t="s">
        <v>37</v>
      </c>
      <c r="C388" s="12" t="s">
        <v>18</v>
      </c>
      <c r="D388" s="12" t="s">
        <v>14</v>
      </c>
      <c r="E388" s="13">
        <v>7734</v>
      </c>
      <c r="F388" s="14">
        <v>10384187.42</v>
      </c>
      <c r="G388" s="12">
        <v>2.4300000000000002</v>
      </c>
      <c r="H388" s="12">
        <v>37.340000000000003</v>
      </c>
      <c r="I388" s="12">
        <v>20.93</v>
      </c>
      <c r="J388" s="12">
        <v>122.97</v>
      </c>
      <c r="K388" s="12">
        <v>82.42</v>
      </c>
      <c r="L388" s="15" t="s">
        <v>17</v>
      </c>
    </row>
    <row r="389" spans="1:12" x14ac:dyDescent="0.25">
      <c r="A389" s="16">
        <v>2021</v>
      </c>
      <c r="B389" s="17" t="s">
        <v>37</v>
      </c>
      <c r="C389" s="17" t="s">
        <v>20</v>
      </c>
      <c r="D389" s="17" t="s">
        <v>14</v>
      </c>
      <c r="E389" s="18">
        <v>40180</v>
      </c>
      <c r="F389" s="19">
        <v>8451472.2209999897</v>
      </c>
      <c r="G389" s="17">
        <v>3.22</v>
      </c>
      <c r="H389" s="17">
        <v>52.55</v>
      </c>
      <c r="I389" s="17">
        <v>44.45</v>
      </c>
      <c r="J389" s="17">
        <v>97.8</v>
      </c>
      <c r="K389" s="17">
        <v>53.34</v>
      </c>
      <c r="L389" s="20" t="s">
        <v>27</v>
      </c>
    </row>
    <row r="390" spans="1:12" x14ac:dyDescent="0.25">
      <c r="A390" s="11">
        <v>2021</v>
      </c>
      <c r="B390" s="12" t="s">
        <v>37</v>
      </c>
      <c r="C390" s="12" t="s">
        <v>22</v>
      </c>
      <c r="D390" s="12" t="s">
        <v>14</v>
      </c>
      <c r="E390" s="13">
        <v>39509</v>
      </c>
      <c r="F390" s="14">
        <v>57709591.710000001</v>
      </c>
      <c r="G390" s="12">
        <v>0.439999999999999</v>
      </c>
      <c r="H390" s="12">
        <v>52.43</v>
      </c>
      <c r="I390" s="12">
        <v>9.26</v>
      </c>
      <c r="J390" s="12">
        <v>214.47</v>
      </c>
      <c r="K390" s="12">
        <v>84.68</v>
      </c>
      <c r="L390" s="15" t="s">
        <v>19</v>
      </c>
    </row>
    <row r="391" spans="1:12" x14ac:dyDescent="0.25">
      <c r="A391" s="16">
        <v>2021</v>
      </c>
      <c r="B391" s="17" t="s">
        <v>37</v>
      </c>
      <c r="C391" s="17" t="s">
        <v>23</v>
      </c>
      <c r="D391" s="17" t="s">
        <v>24</v>
      </c>
      <c r="E391" s="18">
        <v>7653</v>
      </c>
      <c r="F391" s="19">
        <v>25848407.75</v>
      </c>
      <c r="G391" s="17">
        <v>6.33</v>
      </c>
      <c r="H391" s="17">
        <v>66.02</v>
      </c>
      <c r="I391" s="17">
        <v>9.81</v>
      </c>
      <c r="J391" s="17">
        <v>183.48</v>
      </c>
      <c r="K391" s="17">
        <v>54.28</v>
      </c>
      <c r="L391" s="20" t="s">
        <v>19</v>
      </c>
    </row>
    <row r="392" spans="1:12" x14ac:dyDescent="0.25">
      <c r="A392" s="11">
        <v>2021</v>
      </c>
      <c r="B392" s="12" t="s">
        <v>37</v>
      </c>
      <c r="C392" s="12" t="s">
        <v>25</v>
      </c>
      <c r="D392" s="12" t="s">
        <v>24</v>
      </c>
      <c r="E392" s="13">
        <v>10112</v>
      </c>
      <c r="F392" s="14">
        <v>41338291.909999996</v>
      </c>
      <c r="G392" s="12">
        <v>3.44</v>
      </c>
      <c r="H392" s="12">
        <v>40.869999999999997</v>
      </c>
      <c r="I392" s="12">
        <v>37.22</v>
      </c>
      <c r="J392" s="12">
        <v>93.6</v>
      </c>
      <c r="K392" s="12">
        <v>72.67</v>
      </c>
      <c r="L392" s="15" t="s">
        <v>15</v>
      </c>
    </row>
    <row r="393" spans="1:12" x14ac:dyDescent="0.25">
      <c r="A393" s="16">
        <v>2021</v>
      </c>
      <c r="B393" s="17" t="s">
        <v>37</v>
      </c>
      <c r="C393" s="17" t="s">
        <v>26</v>
      </c>
      <c r="D393" s="17" t="s">
        <v>24</v>
      </c>
      <c r="E393" s="18">
        <v>63494</v>
      </c>
      <c r="F393" s="19">
        <v>10304716.720000001</v>
      </c>
      <c r="G393" s="17">
        <v>3.98</v>
      </c>
      <c r="H393" s="17">
        <v>74.63</v>
      </c>
      <c r="I393" s="17">
        <v>53.48</v>
      </c>
      <c r="J393" s="17">
        <v>296.12</v>
      </c>
      <c r="K393" s="17">
        <v>93.14</v>
      </c>
      <c r="L393" s="20" t="s">
        <v>21</v>
      </c>
    </row>
    <row r="394" spans="1:12" x14ac:dyDescent="0.25">
      <c r="A394" s="11">
        <v>2021</v>
      </c>
      <c r="B394" s="12" t="s">
        <v>37</v>
      </c>
      <c r="C394" s="12" t="s">
        <v>28</v>
      </c>
      <c r="D394" s="12" t="s">
        <v>24</v>
      </c>
      <c r="E394" s="13">
        <v>40197</v>
      </c>
      <c r="F394" s="14">
        <v>47733241.810000002</v>
      </c>
      <c r="G394" s="12">
        <v>4.21</v>
      </c>
      <c r="H394" s="12">
        <v>63.71</v>
      </c>
      <c r="I394" s="12">
        <v>37.93</v>
      </c>
      <c r="J394" s="12">
        <v>70.52</v>
      </c>
      <c r="K394" s="12">
        <v>74.59</v>
      </c>
      <c r="L394" s="15" t="s">
        <v>27</v>
      </c>
    </row>
    <row r="395" spans="1:12" x14ac:dyDescent="0.25">
      <c r="A395" s="16">
        <v>2021</v>
      </c>
      <c r="B395" s="17" t="s">
        <v>37</v>
      </c>
      <c r="C395" s="17" t="s">
        <v>29</v>
      </c>
      <c r="D395" s="17" t="s">
        <v>24</v>
      </c>
      <c r="E395" s="18">
        <v>28000</v>
      </c>
      <c r="F395" s="19">
        <v>39976458.880000003</v>
      </c>
      <c r="G395" s="17">
        <v>6.67</v>
      </c>
      <c r="H395" s="17">
        <v>56.79</v>
      </c>
      <c r="I395" s="17">
        <v>11.35</v>
      </c>
      <c r="J395" s="17">
        <v>240.77</v>
      </c>
      <c r="K395" s="17">
        <v>51.48</v>
      </c>
      <c r="L395" s="20" t="s">
        <v>15</v>
      </c>
    </row>
    <row r="396" spans="1:12" x14ac:dyDescent="0.25">
      <c r="A396" s="11">
        <v>2021</v>
      </c>
      <c r="B396" s="12" t="s">
        <v>37</v>
      </c>
      <c r="C396" s="12" t="s">
        <v>30</v>
      </c>
      <c r="D396" s="12" t="s">
        <v>24</v>
      </c>
      <c r="E396" s="13">
        <v>30537</v>
      </c>
      <c r="F396" s="14">
        <v>33782555.279999897</v>
      </c>
      <c r="G396" s="12">
        <v>6.26</v>
      </c>
      <c r="H396" s="12">
        <v>48.75</v>
      </c>
      <c r="I396" s="12">
        <v>15.75</v>
      </c>
      <c r="J396" s="12">
        <v>162.28</v>
      </c>
      <c r="K396" s="12">
        <v>64.739999999999995</v>
      </c>
      <c r="L396" s="15" t="s">
        <v>17</v>
      </c>
    </row>
    <row r="397" spans="1:12" x14ac:dyDescent="0.25">
      <c r="A397" s="16">
        <v>2021</v>
      </c>
      <c r="B397" s="17" t="s">
        <v>37</v>
      </c>
      <c r="C397" s="17" t="s">
        <v>31</v>
      </c>
      <c r="D397" s="17" t="s">
        <v>24</v>
      </c>
      <c r="E397" s="18">
        <v>16890</v>
      </c>
      <c r="F397" s="19">
        <v>10789418.339999899</v>
      </c>
      <c r="G397" s="17">
        <v>3.36</v>
      </c>
      <c r="H397" s="17">
        <v>73.7</v>
      </c>
      <c r="I397" s="17">
        <v>27.02</v>
      </c>
      <c r="J397" s="17">
        <v>202.39</v>
      </c>
      <c r="K397" s="17">
        <v>52.08</v>
      </c>
      <c r="L397" s="20" t="s">
        <v>27</v>
      </c>
    </row>
    <row r="398" spans="1:12" x14ac:dyDescent="0.25">
      <c r="A398" s="11">
        <v>2021</v>
      </c>
      <c r="B398" s="12" t="s">
        <v>37</v>
      </c>
      <c r="C398" s="12" t="s">
        <v>32</v>
      </c>
      <c r="D398" s="12" t="s">
        <v>24</v>
      </c>
      <c r="E398" s="13">
        <v>50895</v>
      </c>
      <c r="F398" s="14">
        <v>58673135.229999997</v>
      </c>
      <c r="G398" s="12">
        <v>5.33</v>
      </c>
      <c r="H398" s="12">
        <v>57.73</v>
      </c>
      <c r="I398" s="12">
        <v>31.67</v>
      </c>
      <c r="J398" s="12">
        <v>226.07</v>
      </c>
      <c r="K398" s="12">
        <v>94.36</v>
      </c>
      <c r="L398" s="15" t="s">
        <v>15</v>
      </c>
    </row>
    <row r="399" spans="1:12" x14ac:dyDescent="0.25">
      <c r="A399" s="16">
        <v>2021</v>
      </c>
      <c r="B399" s="17" t="s">
        <v>37</v>
      </c>
      <c r="C399" s="17" t="s">
        <v>33</v>
      </c>
      <c r="D399" s="17" t="s">
        <v>24</v>
      </c>
      <c r="E399" s="18">
        <v>14293</v>
      </c>
      <c r="F399" s="19">
        <v>84264943.840000004</v>
      </c>
      <c r="G399" s="17">
        <v>3.84</v>
      </c>
      <c r="H399" s="17">
        <v>95.98</v>
      </c>
      <c r="I399" s="17">
        <v>19.39</v>
      </c>
      <c r="J399" s="17">
        <v>139.82</v>
      </c>
      <c r="K399" s="17">
        <v>81.790000000000006</v>
      </c>
      <c r="L399" s="20" t="s">
        <v>15</v>
      </c>
    </row>
    <row r="400" spans="1:12" x14ac:dyDescent="0.25">
      <c r="A400" s="11">
        <v>2021</v>
      </c>
      <c r="B400" s="12" t="s">
        <v>37</v>
      </c>
      <c r="C400" s="12" t="s">
        <v>34</v>
      </c>
      <c r="D400" s="12" t="s">
        <v>24</v>
      </c>
      <c r="E400" s="13">
        <v>18172</v>
      </c>
      <c r="F400" s="14">
        <v>7206944.6519999998</v>
      </c>
      <c r="G400" s="12">
        <v>5.16</v>
      </c>
      <c r="H400" s="12">
        <v>68.44</v>
      </c>
      <c r="I400" s="12">
        <v>22.27</v>
      </c>
      <c r="J400" s="12">
        <v>184.61</v>
      </c>
      <c r="K400" s="12">
        <v>68.86</v>
      </c>
      <c r="L400" s="15" t="s">
        <v>27</v>
      </c>
    </row>
    <row r="401" spans="1:12" x14ac:dyDescent="0.25">
      <c r="A401" s="16">
        <v>2021</v>
      </c>
      <c r="B401" s="17" t="s">
        <v>12</v>
      </c>
      <c r="C401" s="17" t="s">
        <v>13</v>
      </c>
      <c r="D401" s="17" t="s">
        <v>14</v>
      </c>
      <c r="E401" s="18">
        <v>44456</v>
      </c>
      <c r="F401" s="19">
        <v>14331275.99</v>
      </c>
      <c r="G401" s="17">
        <v>0.64999999999999902</v>
      </c>
      <c r="H401" s="17">
        <v>61.11</v>
      </c>
      <c r="I401" s="17">
        <v>40.369999999999997</v>
      </c>
      <c r="J401" s="17">
        <v>129.5</v>
      </c>
      <c r="K401" s="17">
        <v>66.930000000000007</v>
      </c>
      <c r="L401" s="20" t="s">
        <v>21</v>
      </c>
    </row>
    <row r="402" spans="1:12" x14ac:dyDescent="0.25">
      <c r="A402" s="11">
        <v>2021</v>
      </c>
      <c r="B402" s="12" t="s">
        <v>12</v>
      </c>
      <c r="C402" s="12" t="s">
        <v>16</v>
      </c>
      <c r="D402" s="12" t="s">
        <v>14</v>
      </c>
      <c r="E402" s="13">
        <v>6548</v>
      </c>
      <c r="F402" s="14">
        <v>54168172.520000003</v>
      </c>
      <c r="G402" s="12">
        <v>2.64</v>
      </c>
      <c r="H402" s="12">
        <v>63.01</v>
      </c>
      <c r="I402" s="12">
        <v>17.850000000000001</v>
      </c>
      <c r="J402" s="12">
        <v>279.58</v>
      </c>
      <c r="K402" s="12">
        <v>73.97</v>
      </c>
      <c r="L402" s="15" t="s">
        <v>27</v>
      </c>
    </row>
    <row r="403" spans="1:12" x14ac:dyDescent="0.25">
      <c r="A403" s="16">
        <v>2021</v>
      </c>
      <c r="B403" s="17" t="s">
        <v>12</v>
      </c>
      <c r="C403" s="17" t="s">
        <v>18</v>
      </c>
      <c r="D403" s="17" t="s">
        <v>14</v>
      </c>
      <c r="E403" s="18">
        <v>36129</v>
      </c>
      <c r="F403" s="19">
        <v>28657040.440000001</v>
      </c>
      <c r="G403" s="17">
        <v>0.49</v>
      </c>
      <c r="H403" s="17">
        <v>60.6</v>
      </c>
      <c r="I403" s="17">
        <v>1.5699999999999901</v>
      </c>
      <c r="J403" s="17">
        <v>209.38</v>
      </c>
      <c r="K403" s="17">
        <v>62.41</v>
      </c>
      <c r="L403" s="20" t="s">
        <v>19</v>
      </c>
    </row>
    <row r="404" spans="1:12" x14ac:dyDescent="0.25">
      <c r="A404" s="11">
        <v>2021</v>
      </c>
      <c r="B404" s="12" t="s">
        <v>12</v>
      </c>
      <c r="C404" s="12" t="s">
        <v>20</v>
      </c>
      <c r="D404" s="12" t="s">
        <v>14</v>
      </c>
      <c r="E404" s="13">
        <v>36476</v>
      </c>
      <c r="F404" s="14">
        <v>9769649.4360000007</v>
      </c>
      <c r="G404" s="12">
        <v>0.39999999999999902</v>
      </c>
      <c r="H404" s="12">
        <v>67.05</v>
      </c>
      <c r="I404" s="12">
        <v>29.96</v>
      </c>
      <c r="J404" s="12">
        <v>138.12</v>
      </c>
      <c r="K404" s="12">
        <v>52.54</v>
      </c>
      <c r="L404" s="15" t="s">
        <v>27</v>
      </c>
    </row>
    <row r="405" spans="1:12" x14ac:dyDescent="0.25">
      <c r="A405" s="16">
        <v>2021</v>
      </c>
      <c r="B405" s="17" t="s">
        <v>12</v>
      </c>
      <c r="C405" s="17" t="s">
        <v>22</v>
      </c>
      <c r="D405" s="17" t="s">
        <v>14</v>
      </c>
      <c r="E405" s="18">
        <v>34090</v>
      </c>
      <c r="F405" s="19">
        <v>7777936.3679999998</v>
      </c>
      <c r="G405" s="17">
        <v>3.54</v>
      </c>
      <c r="H405" s="17">
        <v>71.27</v>
      </c>
      <c r="I405" s="17">
        <v>41.68</v>
      </c>
      <c r="J405" s="17">
        <v>171.59</v>
      </c>
      <c r="K405" s="17">
        <v>50.17</v>
      </c>
      <c r="L405" s="20" t="s">
        <v>19</v>
      </c>
    </row>
    <row r="406" spans="1:12" x14ac:dyDescent="0.25">
      <c r="A406" s="11">
        <v>2021</v>
      </c>
      <c r="B406" s="12" t="s">
        <v>12</v>
      </c>
      <c r="C406" s="12" t="s">
        <v>23</v>
      </c>
      <c r="D406" s="12" t="s">
        <v>24</v>
      </c>
      <c r="E406" s="13">
        <v>30278</v>
      </c>
      <c r="F406" s="14">
        <v>12377641.48</v>
      </c>
      <c r="G406" s="12">
        <v>3.86</v>
      </c>
      <c r="H406" s="12">
        <v>40.51</v>
      </c>
      <c r="I406" s="12">
        <v>51.79</v>
      </c>
      <c r="J406" s="12">
        <v>184.8</v>
      </c>
      <c r="K406" s="12">
        <v>61.75</v>
      </c>
      <c r="L406" s="15" t="s">
        <v>19</v>
      </c>
    </row>
    <row r="407" spans="1:12" x14ac:dyDescent="0.25">
      <c r="A407" s="16">
        <v>2021</v>
      </c>
      <c r="B407" s="17" t="s">
        <v>12</v>
      </c>
      <c r="C407" s="17" t="s">
        <v>25</v>
      </c>
      <c r="D407" s="17" t="s">
        <v>24</v>
      </c>
      <c r="E407" s="18">
        <v>57898</v>
      </c>
      <c r="F407" s="19">
        <v>19848318.309999999</v>
      </c>
      <c r="G407" s="17">
        <v>4.43</v>
      </c>
      <c r="H407" s="17">
        <v>45.27</v>
      </c>
      <c r="I407" s="17">
        <v>23.12</v>
      </c>
      <c r="J407" s="17">
        <v>277.64999999999998</v>
      </c>
      <c r="K407" s="17">
        <v>55.07</v>
      </c>
      <c r="L407" s="20" t="s">
        <v>17</v>
      </c>
    </row>
    <row r="408" spans="1:12" x14ac:dyDescent="0.25">
      <c r="A408" s="11">
        <v>2021</v>
      </c>
      <c r="B408" s="12" t="s">
        <v>12</v>
      </c>
      <c r="C408" s="12" t="s">
        <v>26</v>
      </c>
      <c r="D408" s="12" t="s">
        <v>24</v>
      </c>
      <c r="E408" s="13">
        <v>44847</v>
      </c>
      <c r="F408" s="14">
        <v>14310727.310000001</v>
      </c>
      <c r="G408" s="12">
        <v>5.07</v>
      </c>
      <c r="H408" s="12">
        <v>66.56</v>
      </c>
      <c r="I408" s="12">
        <v>16.829999999999998</v>
      </c>
      <c r="J408" s="12">
        <v>97.53</v>
      </c>
      <c r="K408" s="12">
        <v>53.5</v>
      </c>
      <c r="L408" s="15" t="s">
        <v>27</v>
      </c>
    </row>
    <row r="409" spans="1:12" x14ac:dyDescent="0.25">
      <c r="A409" s="16">
        <v>2021</v>
      </c>
      <c r="B409" s="17" t="s">
        <v>12</v>
      </c>
      <c r="C409" s="17" t="s">
        <v>28</v>
      </c>
      <c r="D409" s="17" t="s">
        <v>24</v>
      </c>
      <c r="E409" s="18">
        <v>6557</v>
      </c>
      <c r="F409" s="19">
        <v>41433407.509999998</v>
      </c>
      <c r="G409" s="17">
        <v>2.69</v>
      </c>
      <c r="H409" s="17">
        <v>94.68</v>
      </c>
      <c r="I409" s="17">
        <v>54.35</v>
      </c>
      <c r="J409" s="17">
        <v>127.45</v>
      </c>
      <c r="K409" s="17">
        <v>85.11</v>
      </c>
      <c r="L409" s="20" t="s">
        <v>15</v>
      </c>
    </row>
    <row r="410" spans="1:12" x14ac:dyDescent="0.25">
      <c r="A410" s="11">
        <v>2021</v>
      </c>
      <c r="B410" s="12" t="s">
        <v>12</v>
      </c>
      <c r="C410" s="12" t="s">
        <v>29</v>
      </c>
      <c r="D410" s="12" t="s">
        <v>24</v>
      </c>
      <c r="E410" s="13">
        <v>58334</v>
      </c>
      <c r="F410" s="14">
        <v>67042799.399999999</v>
      </c>
      <c r="G410" s="12">
        <v>6.02</v>
      </c>
      <c r="H410" s="12">
        <v>90.08</v>
      </c>
      <c r="I410" s="12">
        <v>10.35</v>
      </c>
      <c r="J410" s="12">
        <v>102.66</v>
      </c>
      <c r="K410" s="12">
        <v>60.11</v>
      </c>
      <c r="L410" s="15" t="s">
        <v>27</v>
      </c>
    </row>
    <row r="411" spans="1:12" x14ac:dyDescent="0.25">
      <c r="A411" s="16">
        <v>2021</v>
      </c>
      <c r="B411" s="17" t="s">
        <v>12</v>
      </c>
      <c r="C411" s="17" t="s">
        <v>30</v>
      </c>
      <c r="D411" s="17" t="s">
        <v>24</v>
      </c>
      <c r="E411" s="18">
        <v>42025</v>
      </c>
      <c r="F411" s="19">
        <v>46339655.030000001</v>
      </c>
      <c r="G411" s="17">
        <v>4.66</v>
      </c>
      <c r="H411" s="17">
        <v>82.85</v>
      </c>
      <c r="I411" s="17">
        <v>36.11</v>
      </c>
      <c r="J411" s="17">
        <v>176.96</v>
      </c>
      <c r="K411" s="17">
        <v>71.11</v>
      </c>
      <c r="L411" s="20" t="s">
        <v>21</v>
      </c>
    </row>
    <row r="412" spans="1:12" x14ac:dyDescent="0.25">
      <c r="A412" s="11">
        <v>2021</v>
      </c>
      <c r="B412" s="12" t="s">
        <v>12</v>
      </c>
      <c r="C412" s="12" t="s">
        <v>31</v>
      </c>
      <c r="D412" s="12" t="s">
        <v>24</v>
      </c>
      <c r="E412" s="13">
        <v>8612</v>
      </c>
      <c r="F412" s="14">
        <v>30287874.850000001</v>
      </c>
      <c r="G412" s="12">
        <v>3.62</v>
      </c>
      <c r="H412" s="12">
        <v>54.88</v>
      </c>
      <c r="I412" s="12">
        <v>52.25</v>
      </c>
      <c r="J412" s="12">
        <v>288.87</v>
      </c>
      <c r="K412" s="12">
        <v>72.55</v>
      </c>
      <c r="L412" s="15" t="s">
        <v>15</v>
      </c>
    </row>
    <row r="413" spans="1:12" x14ac:dyDescent="0.25">
      <c r="A413" s="16">
        <v>2021</v>
      </c>
      <c r="B413" s="17" t="s">
        <v>12</v>
      </c>
      <c r="C413" s="17" t="s">
        <v>32</v>
      </c>
      <c r="D413" s="17" t="s">
        <v>24</v>
      </c>
      <c r="E413" s="18">
        <v>33689</v>
      </c>
      <c r="F413" s="19">
        <v>37582037.579999998</v>
      </c>
      <c r="G413" s="17">
        <v>6.06</v>
      </c>
      <c r="H413" s="17">
        <v>97.44</v>
      </c>
      <c r="I413" s="17">
        <v>25.59</v>
      </c>
      <c r="J413" s="17">
        <v>133.77000000000001</v>
      </c>
      <c r="K413" s="17">
        <v>92.93</v>
      </c>
      <c r="L413" s="20" t="s">
        <v>27</v>
      </c>
    </row>
    <row r="414" spans="1:12" x14ac:dyDescent="0.25">
      <c r="A414" s="11">
        <v>2021</v>
      </c>
      <c r="B414" s="12" t="s">
        <v>12</v>
      </c>
      <c r="C414" s="12" t="s">
        <v>33</v>
      </c>
      <c r="D414" s="12" t="s">
        <v>24</v>
      </c>
      <c r="E414" s="13">
        <v>60093</v>
      </c>
      <c r="F414" s="14">
        <v>79592293.1639999</v>
      </c>
      <c r="G414" s="12">
        <v>3.24</v>
      </c>
      <c r="H414" s="12">
        <v>68.56</v>
      </c>
      <c r="I414" s="12">
        <v>48.17</v>
      </c>
      <c r="J414" s="12">
        <v>130.83000000000001</v>
      </c>
      <c r="K414" s="12">
        <v>75.69</v>
      </c>
      <c r="L414" s="15" t="s">
        <v>17</v>
      </c>
    </row>
    <row r="415" spans="1:12" x14ac:dyDescent="0.25">
      <c r="A415" s="16">
        <v>2021</v>
      </c>
      <c r="B415" s="17" t="s">
        <v>12</v>
      </c>
      <c r="C415" s="17" t="s">
        <v>34</v>
      </c>
      <c r="D415" s="17" t="s">
        <v>24</v>
      </c>
      <c r="E415" s="18">
        <v>50612</v>
      </c>
      <c r="F415" s="19">
        <v>24547804.329999998</v>
      </c>
      <c r="G415" s="17">
        <v>4.38</v>
      </c>
      <c r="H415" s="17">
        <v>76.13</v>
      </c>
      <c r="I415" s="17">
        <v>16.43</v>
      </c>
      <c r="J415" s="17">
        <v>58.21</v>
      </c>
      <c r="K415" s="17">
        <v>60.85</v>
      </c>
      <c r="L415" s="20" t="s">
        <v>15</v>
      </c>
    </row>
    <row r="416" spans="1:12" x14ac:dyDescent="0.25">
      <c r="A416" s="11">
        <v>2021</v>
      </c>
      <c r="B416" s="12" t="s">
        <v>35</v>
      </c>
      <c r="C416" s="12" t="s">
        <v>13</v>
      </c>
      <c r="D416" s="12" t="s">
        <v>14</v>
      </c>
      <c r="E416" s="13">
        <v>33392</v>
      </c>
      <c r="F416" s="14">
        <v>40200175.950000003</v>
      </c>
      <c r="G416" s="12">
        <v>-0.14000000000000001</v>
      </c>
      <c r="H416" s="12">
        <v>69.319999999999993</v>
      </c>
      <c r="I416" s="12">
        <v>24.76</v>
      </c>
      <c r="J416" s="12">
        <v>255.14</v>
      </c>
      <c r="K416" s="12">
        <v>39.33</v>
      </c>
      <c r="L416" s="15" t="s">
        <v>21</v>
      </c>
    </row>
    <row r="417" spans="1:12" x14ac:dyDescent="0.25">
      <c r="A417" s="16">
        <v>2021</v>
      </c>
      <c r="B417" s="17" t="s">
        <v>35</v>
      </c>
      <c r="C417" s="17" t="s">
        <v>16</v>
      </c>
      <c r="D417" s="17" t="s">
        <v>14</v>
      </c>
      <c r="E417" s="18">
        <v>20351</v>
      </c>
      <c r="F417" s="19">
        <v>10720475.02</v>
      </c>
      <c r="G417" s="17">
        <v>3.45</v>
      </c>
      <c r="H417" s="17">
        <v>77.709999999999994</v>
      </c>
      <c r="I417" s="17">
        <v>3.3</v>
      </c>
      <c r="J417" s="17">
        <v>285.13</v>
      </c>
      <c r="K417" s="17">
        <v>73.56</v>
      </c>
      <c r="L417" s="20" t="s">
        <v>21</v>
      </c>
    </row>
    <row r="418" spans="1:12" x14ac:dyDescent="0.25">
      <c r="A418" s="11">
        <v>2021</v>
      </c>
      <c r="B418" s="12" t="s">
        <v>35</v>
      </c>
      <c r="C418" s="12" t="s">
        <v>18</v>
      </c>
      <c r="D418" s="12" t="s">
        <v>14</v>
      </c>
      <c r="E418" s="13">
        <v>9689</v>
      </c>
      <c r="F418" s="14">
        <v>18237818.16</v>
      </c>
      <c r="G418" s="12">
        <v>-0.39</v>
      </c>
      <c r="H418" s="12">
        <v>45.74</v>
      </c>
      <c r="I418" s="12">
        <v>39.58</v>
      </c>
      <c r="J418" s="12">
        <v>291.06</v>
      </c>
      <c r="K418" s="12">
        <v>65.819999999999993</v>
      </c>
      <c r="L418" s="15" t="s">
        <v>21</v>
      </c>
    </row>
    <row r="419" spans="1:12" x14ac:dyDescent="0.25">
      <c r="A419" s="16">
        <v>2021</v>
      </c>
      <c r="B419" s="17" t="s">
        <v>35</v>
      </c>
      <c r="C419" s="17" t="s">
        <v>20</v>
      </c>
      <c r="D419" s="17" t="s">
        <v>14</v>
      </c>
      <c r="E419" s="18">
        <v>19360</v>
      </c>
      <c r="F419" s="19">
        <v>21067765.940000001</v>
      </c>
      <c r="G419" s="17">
        <v>0.71</v>
      </c>
      <c r="H419" s="17">
        <v>72.25</v>
      </c>
      <c r="I419" s="17">
        <v>24.64</v>
      </c>
      <c r="J419" s="17">
        <v>119.68</v>
      </c>
      <c r="K419" s="17">
        <v>71.099999999999994</v>
      </c>
      <c r="L419" s="20" t="s">
        <v>17</v>
      </c>
    </row>
    <row r="420" spans="1:12" x14ac:dyDescent="0.25">
      <c r="A420" s="11">
        <v>2021</v>
      </c>
      <c r="B420" s="12" t="s">
        <v>35</v>
      </c>
      <c r="C420" s="12" t="s">
        <v>22</v>
      </c>
      <c r="D420" s="12" t="s">
        <v>14</v>
      </c>
      <c r="E420" s="13">
        <v>41937</v>
      </c>
      <c r="F420" s="14">
        <v>10442280.66</v>
      </c>
      <c r="G420" s="12">
        <v>-0.2</v>
      </c>
      <c r="H420" s="12">
        <v>67</v>
      </c>
      <c r="I420" s="12">
        <v>23.33</v>
      </c>
      <c r="J420" s="12">
        <v>106.63</v>
      </c>
      <c r="K420" s="12">
        <v>42.6</v>
      </c>
      <c r="L420" s="15" t="s">
        <v>15</v>
      </c>
    </row>
    <row r="421" spans="1:12" x14ac:dyDescent="0.25">
      <c r="A421" s="16">
        <v>2021</v>
      </c>
      <c r="B421" s="17" t="s">
        <v>35</v>
      </c>
      <c r="C421" s="17" t="s">
        <v>23</v>
      </c>
      <c r="D421" s="17" t="s">
        <v>24</v>
      </c>
      <c r="E421" s="18">
        <v>26634</v>
      </c>
      <c r="F421" s="19">
        <v>17977115.149999999</v>
      </c>
      <c r="G421" s="17">
        <v>2.97</v>
      </c>
      <c r="H421" s="17">
        <v>45.93</v>
      </c>
      <c r="I421" s="17">
        <v>52.08</v>
      </c>
      <c r="J421" s="17">
        <v>238.86</v>
      </c>
      <c r="K421" s="17">
        <v>74.08</v>
      </c>
      <c r="L421" s="20" t="s">
        <v>19</v>
      </c>
    </row>
    <row r="422" spans="1:12" x14ac:dyDescent="0.25">
      <c r="A422" s="11">
        <v>2021</v>
      </c>
      <c r="B422" s="12" t="s">
        <v>35</v>
      </c>
      <c r="C422" s="12" t="s">
        <v>25</v>
      </c>
      <c r="D422" s="12" t="s">
        <v>24</v>
      </c>
      <c r="E422" s="13">
        <v>36653</v>
      </c>
      <c r="F422" s="14">
        <v>38555751.189999998</v>
      </c>
      <c r="G422" s="12">
        <v>4.34</v>
      </c>
      <c r="H422" s="12">
        <v>88.65</v>
      </c>
      <c r="I422" s="12">
        <v>27.12</v>
      </c>
      <c r="J422" s="12">
        <v>280.3</v>
      </c>
      <c r="K422" s="12">
        <v>66</v>
      </c>
      <c r="L422" s="15" t="s">
        <v>19</v>
      </c>
    </row>
    <row r="423" spans="1:12" x14ac:dyDescent="0.25">
      <c r="A423" s="16">
        <v>2021</v>
      </c>
      <c r="B423" s="17" t="s">
        <v>35</v>
      </c>
      <c r="C423" s="17" t="s">
        <v>26</v>
      </c>
      <c r="D423" s="17" t="s">
        <v>24</v>
      </c>
      <c r="E423" s="18">
        <v>61958</v>
      </c>
      <c r="F423" s="19">
        <v>56094433.859999903</v>
      </c>
      <c r="G423" s="17">
        <v>4.58</v>
      </c>
      <c r="H423" s="17">
        <v>59.36</v>
      </c>
      <c r="I423" s="17">
        <v>24.48</v>
      </c>
      <c r="J423" s="17">
        <v>62.63</v>
      </c>
      <c r="K423" s="17">
        <v>92.83</v>
      </c>
      <c r="L423" s="20" t="s">
        <v>15</v>
      </c>
    </row>
    <row r="424" spans="1:12" x14ac:dyDescent="0.25">
      <c r="A424" s="11">
        <v>2021</v>
      </c>
      <c r="B424" s="12" t="s">
        <v>35</v>
      </c>
      <c r="C424" s="12" t="s">
        <v>28</v>
      </c>
      <c r="D424" s="12" t="s">
        <v>24</v>
      </c>
      <c r="E424" s="13">
        <v>6501</v>
      </c>
      <c r="F424" s="14">
        <v>38321092.719999999</v>
      </c>
      <c r="G424" s="12">
        <v>5.2799999999999896</v>
      </c>
      <c r="H424" s="12">
        <v>74.459999999999994</v>
      </c>
      <c r="I424" s="12">
        <v>32.11</v>
      </c>
      <c r="J424" s="12">
        <v>93.6</v>
      </c>
      <c r="K424" s="12">
        <v>93.25</v>
      </c>
      <c r="L424" s="15" t="s">
        <v>17</v>
      </c>
    </row>
    <row r="425" spans="1:12" x14ac:dyDescent="0.25">
      <c r="A425" s="16">
        <v>2021</v>
      </c>
      <c r="B425" s="17" t="s">
        <v>35</v>
      </c>
      <c r="C425" s="17" t="s">
        <v>29</v>
      </c>
      <c r="D425" s="17" t="s">
        <v>24</v>
      </c>
      <c r="E425" s="18">
        <v>31267</v>
      </c>
      <c r="F425" s="19">
        <v>31015491.109999999</v>
      </c>
      <c r="G425" s="17">
        <v>3.11</v>
      </c>
      <c r="H425" s="17">
        <v>75.22</v>
      </c>
      <c r="I425" s="17">
        <v>36.29</v>
      </c>
      <c r="J425" s="17">
        <v>75.66</v>
      </c>
      <c r="K425" s="17">
        <v>48.08</v>
      </c>
      <c r="L425" s="20" t="s">
        <v>27</v>
      </c>
    </row>
    <row r="426" spans="1:12" x14ac:dyDescent="0.25">
      <c r="A426" s="11">
        <v>2021</v>
      </c>
      <c r="B426" s="12" t="s">
        <v>35</v>
      </c>
      <c r="C426" s="12" t="s">
        <v>30</v>
      </c>
      <c r="D426" s="12" t="s">
        <v>24</v>
      </c>
      <c r="E426" s="13">
        <v>27446</v>
      </c>
      <c r="F426" s="14">
        <v>66537700.595999897</v>
      </c>
      <c r="G426" s="12">
        <v>5.89</v>
      </c>
      <c r="H426" s="12">
        <v>93.07</v>
      </c>
      <c r="I426" s="12">
        <v>25.38</v>
      </c>
      <c r="J426" s="12">
        <v>199.61</v>
      </c>
      <c r="K426" s="12">
        <v>89.51</v>
      </c>
      <c r="L426" s="15" t="s">
        <v>21</v>
      </c>
    </row>
    <row r="427" spans="1:12" x14ac:dyDescent="0.25">
      <c r="A427" s="16">
        <v>2021</v>
      </c>
      <c r="B427" s="17" t="s">
        <v>35</v>
      </c>
      <c r="C427" s="17" t="s">
        <v>31</v>
      </c>
      <c r="D427" s="17" t="s">
        <v>24</v>
      </c>
      <c r="E427" s="18">
        <v>60479</v>
      </c>
      <c r="F427" s="19">
        <v>80946999.2519999</v>
      </c>
      <c r="G427" s="17">
        <v>4.3599999999999897</v>
      </c>
      <c r="H427" s="17">
        <v>41.23</v>
      </c>
      <c r="I427" s="17">
        <v>45.34</v>
      </c>
      <c r="J427" s="17">
        <v>215.46</v>
      </c>
      <c r="K427" s="17">
        <v>49.82</v>
      </c>
      <c r="L427" s="20" t="s">
        <v>17</v>
      </c>
    </row>
    <row r="428" spans="1:12" x14ac:dyDescent="0.25">
      <c r="A428" s="11">
        <v>2021</v>
      </c>
      <c r="B428" s="12" t="s">
        <v>35</v>
      </c>
      <c r="C428" s="12" t="s">
        <v>32</v>
      </c>
      <c r="D428" s="12" t="s">
        <v>24</v>
      </c>
      <c r="E428" s="13">
        <v>33576</v>
      </c>
      <c r="F428" s="14">
        <v>15758344.550000001</v>
      </c>
      <c r="G428" s="12">
        <v>6.65</v>
      </c>
      <c r="H428" s="12">
        <v>73.37</v>
      </c>
      <c r="I428" s="12">
        <v>14.85</v>
      </c>
      <c r="J428" s="12">
        <v>69.650000000000006</v>
      </c>
      <c r="K428" s="12">
        <v>58.52</v>
      </c>
      <c r="L428" s="15" t="s">
        <v>27</v>
      </c>
    </row>
    <row r="429" spans="1:12" x14ac:dyDescent="0.25">
      <c r="A429" s="16">
        <v>2021</v>
      </c>
      <c r="B429" s="17" t="s">
        <v>35</v>
      </c>
      <c r="C429" s="17" t="s">
        <v>33</v>
      </c>
      <c r="D429" s="17" t="s">
        <v>24</v>
      </c>
      <c r="E429" s="18">
        <v>53719</v>
      </c>
      <c r="F429" s="19">
        <v>32766472.260000002</v>
      </c>
      <c r="G429" s="17">
        <v>2.82</v>
      </c>
      <c r="H429" s="17">
        <v>96.44</v>
      </c>
      <c r="I429" s="17">
        <v>40.479999999999997</v>
      </c>
      <c r="J429" s="17">
        <v>160.44999999999999</v>
      </c>
      <c r="K429" s="17">
        <v>71.77</v>
      </c>
      <c r="L429" s="20" t="s">
        <v>17</v>
      </c>
    </row>
    <row r="430" spans="1:12" x14ac:dyDescent="0.25">
      <c r="A430" s="11">
        <v>2021</v>
      </c>
      <c r="B430" s="12" t="s">
        <v>35</v>
      </c>
      <c r="C430" s="12" t="s">
        <v>34</v>
      </c>
      <c r="D430" s="12" t="s">
        <v>24</v>
      </c>
      <c r="E430" s="13">
        <v>34710</v>
      </c>
      <c r="F430" s="14">
        <v>17998844.949999999</v>
      </c>
      <c r="G430" s="12">
        <v>5.2799999999999896</v>
      </c>
      <c r="H430" s="12">
        <v>61.27</v>
      </c>
      <c r="I430" s="12">
        <v>11.75</v>
      </c>
      <c r="J430" s="12">
        <v>237.56</v>
      </c>
      <c r="K430" s="12">
        <v>76.8</v>
      </c>
      <c r="L430" s="15" t="s">
        <v>19</v>
      </c>
    </row>
    <row r="431" spans="1:12" x14ac:dyDescent="0.25">
      <c r="A431" s="16">
        <v>2021</v>
      </c>
      <c r="B431" s="17" t="s">
        <v>36</v>
      </c>
      <c r="C431" s="17" t="s">
        <v>13</v>
      </c>
      <c r="D431" s="17" t="s">
        <v>14</v>
      </c>
      <c r="E431" s="18">
        <v>39031</v>
      </c>
      <c r="F431" s="19">
        <v>18608941.010000002</v>
      </c>
      <c r="G431" s="17">
        <v>3.81</v>
      </c>
      <c r="H431" s="17">
        <v>33.54</v>
      </c>
      <c r="I431" s="17">
        <v>15.3</v>
      </c>
      <c r="J431" s="17">
        <v>107.98</v>
      </c>
      <c r="K431" s="17">
        <v>58.3</v>
      </c>
      <c r="L431" s="20" t="s">
        <v>15</v>
      </c>
    </row>
    <row r="432" spans="1:12" x14ac:dyDescent="0.25">
      <c r="A432" s="11">
        <v>2021</v>
      </c>
      <c r="B432" s="12" t="s">
        <v>36</v>
      </c>
      <c r="C432" s="12" t="s">
        <v>16</v>
      </c>
      <c r="D432" s="12" t="s">
        <v>14</v>
      </c>
      <c r="E432" s="13">
        <v>34903</v>
      </c>
      <c r="F432" s="14">
        <v>18518248.489999998</v>
      </c>
      <c r="G432" s="12">
        <v>2.0499999999999998</v>
      </c>
      <c r="H432" s="12">
        <v>53.32</v>
      </c>
      <c r="I432" s="12">
        <v>5.41</v>
      </c>
      <c r="J432" s="12">
        <v>217.97</v>
      </c>
      <c r="K432" s="12">
        <v>54.81</v>
      </c>
      <c r="L432" s="15" t="s">
        <v>27</v>
      </c>
    </row>
    <row r="433" spans="1:12" x14ac:dyDescent="0.25">
      <c r="A433" s="16">
        <v>2021</v>
      </c>
      <c r="B433" s="17" t="s">
        <v>36</v>
      </c>
      <c r="C433" s="17" t="s">
        <v>18</v>
      </c>
      <c r="D433" s="17" t="s">
        <v>14</v>
      </c>
      <c r="E433" s="18">
        <v>35996</v>
      </c>
      <c r="F433" s="19">
        <v>23537405.350000001</v>
      </c>
      <c r="G433" s="17">
        <v>3.53</v>
      </c>
      <c r="H433" s="17">
        <v>37.57</v>
      </c>
      <c r="I433" s="17">
        <v>31.68</v>
      </c>
      <c r="J433" s="17">
        <v>291.12</v>
      </c>
      <c r="K433" s="17">
        <v>85.21</v>
      </c>
      <c r="L433" s="20" t="s">
        <v>17</v>
      </c>
    </row>
    <row r="434" spans="1:12" x14ac:dyDescent="0.25">
      <c r="A434" s="11">
        <v>2021</v>
      </c>
      <c r="B434" s="12" t="s">
        <v>36</v>
      </c>
      <c r="C434" s="12" t="s">
        <v>20</v>
      </c>
      <c r="D434" s="12" t="s">
        <v>14</v>
      </c>
      <c r="E434" s="13">
        <v>42820</v>
      </c>
      <c r="F434" s="14">
        <v>29532856.460000001</v>
      </c>
      <c r="G434" s="12">
        <v>-0.47</v>
      </c>
      <c r="H434" s="12">
        <v>68.239999999999995</v>
      </c>
      <c r="I434" s="12">
        <v>19.11</v>
      </c>
      <c r="J434" s="12">
        <v>188.16</v>
      </c>
      <c r="K434" s="12">
        <v>46.5</v>
      </c>
      <c r="L434" s="15" t="s">
        <v>17</v>
      </c>
    </row>
    <row r="435" spans="1:12" x14ac:dyDescent="0.25">
      <c r="A435" s="16">
        <v>2021</v>
      </c>
      <c r="B435" s="17" t="s">
        <v>36</v>
      </c>
      <c r="C435" s="17" t="s">
        <v>22</v>
      </c>
      <c r="D435" s="17" t="s">
        <v>14</v>
      </c>
      <c r="E435" s="18">
        <v>28881</v>
      </c>
      <c r="F435" s="19">
        <v>21441364.649999999</v>
      </c>
      <c r="G435" s="17">
        <v>0.65999999999999903</v>
      </c>
      <c r="H435" s="17">
        <v>41.69</v>
      </c>
      <c r="I435" s="17">
        <v>44.53</v>
      </c>
      <c r="J435" s="17">
        <v>269.38</v>
      </c>
      <c r="K435" s="17">
        <v>59.06</v>
      </c>
      <c r="L435" s="20" t="s">
        <v>19</v>
      </c>
    </row>
    <row r="436" spans="1:12" x14ac:dyDescent="0.25">
      <c r="A436" s="11">
        <v>2021</v>
      </c>
      <c r="B436" s="12" t="s">
        <v>36</v>
      </c>
      <c r="C436" s="12" t="s">
        <v>23</v>
      </c>
      <c r="D436" s="12" t="s">
        <v>24</v>
      </c>
      <c r="E436" s="13">
        <v>55419</v>
      </c>
      <c r="F436" s="14">
        <v>10737537.960000001</v>
      </c>
      <c r="G436" s="12">
        <v>2.59</v>
      </c>
      <c r="H436" s="12">
        <v>68.8</v>
      </c>
      <c r="I436" s="12">
        <v>35.979999999999997</v>
      </c>
      <c r="J436" s="12">
        <v>196.85</v>
      </c>
      <c r="K436" s="12">
        <v>72.959999999999994</v>
      </c>
      <c r="L436" s="15" t="s">
        <v>19</v>
      </c>
    </row>
    <row r="437" spans="1:12" x14ac:dyDescent="0.25">
      <c r="A437" s="16">
        <v>2021</v>
      </c>
      <c r="B437" s="17" t="s">
        <v>36</v>
      </c>
      <c r="C437" s="17" t="s">
        <v>25</v>
      </c>
      <c r="D437" s="17" t="s">
        <v>24</v>
      </c>
      <c r="E437" s="18">
        <v>7872</v>
      </c>
      <c r="F437" s="19">
        <v>5221237.3320000004</v>
      </c>
      <c r="G437" s="17">
        <v>4.1099999999999897</v>
      </c>
      <c r="H437" s="17">
        <v>54.57</v>
      </c>
      <c r="I437" s="17">
        <v>44.85</v>
      </c>
      <c r="J437" s="17">
        <v>202.32</v>
      </c>
      <c r="K437" s="17">
        <v>88.65</v>
      </c>
      <c r="L437" s="20" t="s">
        <v>27</v>
      </c>
    </row>
    <row r="438" spans="1:12" x14ac:dyDescent="0.25">
      <c r="A438" s="11">
        <v>2021</v>
      </c>
      <c r="B438" s="12" t="s">
        <v>36</v>
      </c>
      <c r="C438" s="12" t="s">
        <v>26</v>
      </c>
      <c r="D438" s="12" t="s">
        <v>24</v>
      </c>
      <c r="E438" s="13">
        <v>24758</v>
      </c>
      <c r="F438" s="14">
        <v>51101597.950000003</v>
      </c>
      <c r="G438" s="12">
        <v>4.72</v>
      </c>
      <c r="H438" s="12">
        <v>98.62</v>
      </c>
      <c r="I438" s="12">
        <v>35.629999999999903</v>
      </c>
      <c r="J438" s="12">
        <v>259.73</v>
      </c>
      <c r="K438" s="12">
        <v>81.14</v>
      </c>
      <c r="L438" s="15" t="s">
        <v>19</v>
      </c>
    </row>
    <row r="439" spans="1:12" x14ac:dyDescent="0.25">
      <c r="A439" s="16">
        <v>2021</v>
      </c>
      <c r="B439" s="17" t="s">
        <v>36</v>
      </c>
      <c r="C439" s="17" t="s">
        <v>28</v>
      </c>
      <c r="D439" s="17" t="s">
        <v>24</v>
      </c>
      <c r="E439" s="18">
        <v>50384</v>
      </c>
      <c r="F439" s="19">
        <v>16798329.649999999</v>
      </c>
      <c r="G439" s="17">
        <v>4.3599999999999897</v>
      </c>
      <c r="H439" s="17">
        <v>89.43</v>
      </c>
      <c r="I439" s="17">
        <v>51.51</v>
      </c>
      <c r="J439" s="17">
        <v>132.01</v>
      </c>
      <c r="K439" s="17">
        <v>80.989999999999995</v>
      </c>
      <c r="L439" s="20" t="s">
        <v>15</v>
      </c>
    </row>
    <row r="440" spans="1:12" x14ac:dyDescent="0.25">
      <c r="A440" s="11">
        <v>2021</v>
      </c>
      <c r="B440" s="12" t="s">
        <v>36</v>
      </c>
      <c r="C440" s="12" t="s">
        <v>29</v>
      </c>
      <c r="D440" s="12" t="s">
        <v>24</v>
      </c>
      <c r="E440" s="13">
        <v>8281</v>
      </c>
      <c r="F440" s="14">
        <v>15827206.449999999</v>
      </c>
      <c r="G440" s="12">
        <v>2.87</v>
      </c>
      <c r="H440" s="12">
        <v>97.24</v>
      </c>
      <c r="I440" s="12">
        <v>49.02</v>
      </c>
      <c r="J440" s="12">
        <v>297.81</v>
      </c>
      <c r="K440" s="12">
        <v>77.33</v>
      </c>
      <c r="L440" s="15" t="s">
        <v>21</v>
      </c>
    </row>
    <row r="441" spans="1:12" x14ac:dyDescent="0.25">
      <c r="A441" s="16">
        <v>2021</v>
      </c>
      <c r="B441" s="17" t="s">
        <v>36</v>
      </c>
      <c r="C441" s="17" t="s">
        <v>30</v>
      </c>
      <c r="D441" s="17" t="s">
        <v>24</v>
      </c>
      <c r="E441" s="18">
        <v>54330</v>
      </c>
      <c r="F441" s="19">
        <v>37269680.390000001</v>
      </c>
      <c r="G441" s="17">
        <v>6.02</v>
      </c>
      <c r="H441" s="17">
        <v>48.4</v>
      </c>
      <c r="I441" s="17">
        <v>15.34</v>
      </c>
      <c r="J441" s="17">
        <v>212.64</v>
      </c>
      <c r="K441" s="17">
        <v>88.87</v>
      </c>
      <c r="L441" s="20" t="s">
        <v>19</v>
      </c>
    </row>
    <row r="442" spans="1:12" x14ac:dyDescent="0.25">
      <c r="A442" s="11">
        <v>2021</v>
      </c>
      <c r="B442" s="12" t="s">
        <v>36</v>
      </c>
      <c r="C442" s="12" t="s">
        <v>31</v>
      </c>
      <c r="D442" s="12" t="s">
        <v>24</v>
      </c>
      <c r="E442" s="13">
        <v>32683</v>
      </c>
      <c r="F442" s="14">
        <v>17951923.895999901</v>
      </c>
      <c r="G442" s="12">
        <v>4.8599999999999897</v>
      </c>
      <c r="H442" s="12">
        <v>53.85</v>
      </c>
      <c r="I442" s="12">
        <v>21.86</v>
      </c>
      <c r="J442" s="12">
        <v>99.2</v>
      </c>
      <c r="K442" s="12">
        <v>71.55</v>
      </c>
      <c r="L442" s="15" t="s">
        <v>27</v>
      </c>
    </row>
    <row r="443" spans="1:12" x14ac:dyDescent="0.25">
      <c r="A443" s="16">
        <v>2021</v>
      </c>
      <c r="B443" s="17" t="s">
        <v>36</v>
      </c>
      <c r="C443" s="17" t="s">
        <v>32</v>
      </c>
      <c r="D443" s="17" t="s">
        <v>24</v>
      </c>
      <c r="E443" s="18">
        <v>58052</v>
      </c>
      <c r="F443" s="19">
        <v>45303231.340000004</v>
      </c>
      <c r="G443" s="17">
        <v>5.93</v>
      </c>
      <c r="H443" s="17">
        <v>82.65</v>
      </c>
      <c r="I443" s="17">
        <v>33.54</v>
      </c>
      <c r="J443" s="17">
        <v>271.18</v>
      </c>
      <c r="K443" s="17">
        <v>90.26</v>
      </c>
      <c r="L443" s="20" t="s">
        <v>15</v>
      </c>
    </row>
    <row r="444" spans="1:12" x14ac:dyDescent="0.25">
      <c r="A444" s="11">
        <v>2021</v>
      </c>
      <c r="B444" s="12" t="s">
        <v>36</v>
      </c>
      <c r="C444" s="12" t="s">
        <v>33</v>
      </c>
      <c r="D444" s="12" t="s">
        <v>24</v>
      </c>
      <c r="E444" s="13">
        <v>28022</v>
      </c>
      <c r="F444" s="14">
        <v>33044277.48</v>
      </c>
      <c r="G444" s="12">
        <v>3.7</v>
      </c>
      <c r="H444" s="12">
        <v>91.77</v>
      </c>
      <c r="I444" s="12">
        <v>8.11</v>
      </c>
      <c r="J444" s="12">
        <v>274.8</v>
      </c>
      <c r="K444" s="12">
        <v>87</v>
      </c>
      <c r="L444" s="15" t="s">
        <v>27</v>
      </c>
    </row>
    <row r="445" spans="1:12" x14ac:dyDescent="0.25">
      <c r="A445" s="16">
        <v>2021</v>
      </c>
      <c r="B445" s="17" t="s">
        <v>36</v>
      </c>
      <c r="C445" s="17" t="s">
        <v>34</v>
      </c>
      <c r="D445" s="17" t="s">
        <v>24</v>
      </c>
      <c r="E445" s="18">
        <v>55987</v>
      </c>
      <c r="F445" s="19">
        <v>5330566.68</v>
      </c>
      <c r="G445" s="17">
        <v>2.81</v>
      </c>
      <c r="H445" s="17">
        <v>47.52</v>
      </c>
      <c r="I445" s="17">
        <v>46.97</v>
      </c>
      <c r="J445" s="17">
        <v>166.12</v>
      </c>
      <c r="K445" s="17">
        <v>82.49</v>
      </c>
      <c r="L445" s="20" t="s">
        <v>15</v>
      </c>
    </row>
    <row r="446" spans="1:12" x14ac:dyDescent="0.25">
      <c r="A446" s="11">
        <v>2021</v>
      </c>
      <c r="B446" s="12" t="s">
        <v>37</v>
      </c>
      <c r="C446" s="12" t="s">
        <v>13</v>
      </c>
      <c r="D446" s="12" t="s">
        <v>14</v>
      </c>
      <c r="E446" s="13">
        <v>5309</v>
      </c>
      <c r="F446" s="14">
        <v>30375439.559999999</v>
      </c>
      <c r="G446" s="12">
        <v>-0.17</v>
      </c>
      <c r="H446" s="12">
        <v>38.35</v>
      </c>
      <c r="I446" s="12">
        <v>33.49</v>
      </c>
      <c r="J446" s="12">
        <v>297.3</v>
      </c>
      <c r="K446" s="12">
        <v>66.819999999999993</v>
      </c>
      <c r="L446" s="15" t="s">
        <v>15</v>
      </c>
    </row>
    <row r="447" spans="1:12" x14ac:dyDescent="0.25">
      <c r="A447" s="16">
        <v>2021</v>
      </c>
      <c r="B447" s="17" t="s">
        <v>37</v>
      </c>
      <c r="C447" s="17" t="s">
        <v>16</v>
      </c>
      <c r="D447" s="17" t="s">
        <v>14</v>
      </c>
      <c r="E447" s="18">
        <v>39415</v>
      </c>
      <c r="F447" s="19">
        <v>15774523.4</v>
      </c>
      <c r="G447" s="17">
        <v>3.44</v>
      </c>
      <c r="H447" s="17">
        <v>72.400000000000006</v>
      </c>
      <c r="I447" s="17">
        <v>38.090000000000003</v>
      </c>
      <c r="J447" s="17">
        <v>242.8</v>
      </c>
      <c r="K447" s="17">
        <v>86.48</v>
      </c>
      <c r="L447" s="20" t="s">
        <v>21</v>
      </c>
    </row>
    <row r="448" spans="1:12" x14ac:dyDescent="0.25">
      <c r="A448" s="11">
        <v>2021</v>
      </c>
      <c r="B448" s="12" t="s">
        <v>37</v>
      </c>
      <c r="C448" s="12" t="s">
        <v>18</v>
      </c>
      <c r="D448" s="12" t="s">
        <v>14</v>
      </c>
      <c r="E448" s="13">
        <v>7734</v>
      </c>
      <c r="F448" s="14">
        <v>10384187.42</v>
      </c>
      <c r="G448" s="12">
        <v>2.4300000000000002</v>
      </c>
      <c r="H448" s="12">
        <v>37.340000000000003</v>
      </c>
      <c r="I448" s="12">
        <v>20.93</v>
      </c>
      <c r="J448" s="12">
        <v>122.97</v>
      </c>
      <c r="K448" s="12">
        <v>82.42</v>
      </c>
      <c r="L448" s="15" t="s">
        <v>17</v>
      </c>
    </row>
    <row r="449" spans="1:12" x14ac:dyDescent="0.25">
      <c r="A449" s="16">
        <v>2021</v>
      </c>
      <c r="B449" s="17" t="s">
        <v>37</v>
      </c>
      <c r="C449" s="17" t="s">
        <v>20</v>
      </c>
      <c r="D449" s="17" t="s">
        <v>14</v>
      </c>
      <c r="E449" s="18">
        <v>40180</v>
      </c>
      <c r="F449" s="19">
        <v>8451472.2209999897</v>
      </c>
      <c r="G449" s="17">
        <v>3.22</v>
      </c>
      <c r="H449" s="17">
        <v>52.55</v>
      </c>
      <c r="I449" s="17">
        <v>44.45</v>
      </c>
      <c r="J449" s="17">
        <v>97.8</v>
      </c>
      <c r="K449" s="17">
        <v>53.34</v>
      </c>
      <c r="L449" s="20" t="s">
        <v>27</v>
      </c>
    </row>
    <row r="450" spans="1:12" x14ac:dyDescent="0.25">
      <c r="A450" s="11">
        <v>2021</v>
      </c>
      <c r="B450" s="12" t="s">
        <v>37</v>
      </c>
      <c r="C450" s="12" t="s">
        <v>22</v>
      </c>
      <c r="D450" s="12" t="s">
        <v>14</v>
      </c>
      <c r="E450" s="13">
        <v>39509</v>
      </c>
      <c r="F450" s="14">
        <v>57709591.710000001</v>
      </c>
      <c r="G450" s="12">
        <v>0.439999999999999</v>
      </c>
      <c r="H450" s="12">
        <v>52.43</v>
      </c>
      <c r="I450" s="12">
        <v>9.26</v>
      </c>
      <c r="J450" s="12">
        <v>214.47</v>
      </c>
      <c r="K450" s="12">
        <v>84.68</v>
      </c>
      <c r="L450" s="15" t="s">
        <v>19</v>
      </c>
    </row>
    <row r="451" spans="1:12" x14ac:dyDescent="0.25">
      <c r="A451" s="16">
        <v>2021</v>
      </c>
      <c r="B451" s="17" t="s">
        <v>37</v>
      </c>
      <c r="C451" s="17" t="s">
        <v>23</v>
      </c>
      <c r="D451" s="17" t="s">
        <v>24</v>
      </c>
      <c r="E451" s="18">
        <v>7653</v>
      </c>
      <c r="F451" s="19">
        <v>25848407.75</v>
      </c>
      <c r="G451" s="17">
        <v>6.33</v>
      </c>
      <c r="H451" s="17">
        <v>66.02</v>
      </c>
      <c r="I451" s="17">
        <v>9.81</v>
      </c>
      <c r="J451" s="17">
        <v>183.48</v>
      </c>
      <c r="K451" s="17">
        <v>54.28</v>
      </c>
      <c r="L451" s="20" t="s">
        <v>19</v>
      </c>
    </row>
    <row r="452" spans="1:12" x14ac:dyDescent="0.25">
      <c r="A452" s="11">
        <v>2021</v>
      </c>
      <c r="B452" s="12" t="s">
        <v>37</v>
      </c>
      <c r="C452" s="12" t="s">
        <v>25</v>
      </c>
      <c r="D452" s="12" t="s">
        <v>24</v>
      </c>
      <c r="E452" s="13">
        <v>10112</v>
      </c>
      <c r="F452" s="14">
        <v>41338291.909999996</v>
      </c>
      <c r="G452" s="12">
        <v>3.44</v>
      </c>
      <c r="H452" s="12">
        <v>40.869999999999997</v>
      </c>
      <c r="I452" s="12">
        <v>37.22</v>
      </c>
      <c r="J452" s="12">
        <v>93.6</v>
      </c>
      <c r="K452" s="12">
        <v>72.67</v>
      </c>
      <c r="L452" s="15" t="s">
        <v>15</v>
      </c>
    </row>
    <row r="453" spans="1:12" x14ac:dyDescent="0.25">
      <c r="A453" s="16">
        <v>2021</v>
      </c>
      <c r="B453" s="17" t="s">
        <v>37</v>
      </c>
      <c r="C453" s="17" t="s">
        <v>26</v>
      </c>
      <c r="D453" s="17" t="s">
        <v>24</v>
      </c>
      <c r="E453" s="18">
        <v>63494</v>
      </c>
      <c r="F453" s="19">
        <v>10304716.720000001</v>
      </c>
      <c r="G453" s="17">
        <v>3.98</v>
      </c>
      <c r="H453" s="17">
        <v>74.63</v>
      </c>
      <c r="I453" s="17">
        <v>53.48</v>
      </c>
      <c r="J453" s="17">
        <v>296.12</v>
      </c>
      <c r="K453" s="17">
        <v>93.14</v>
      </c>
      <c r="L453" s="20" t="s">
        <v>21</v>
      </c>
    </row>
    <row r="454" spans="1:12" x14ac:dyDescent="0.25">
      <c r="A454" s="11">
        <v>2021</v>
      </c>
      <c r="B454" s="12" t="s">
        <v>37</v>
      </c>
      <c r="C454" s="12" t="s">
        <v>28</v>
      </c>
      <c r="D454" s="12" t="s">
        <v>24</v>
      </c>
      <c r="E454" s="13">
        <v>40197</v>
      </c>
      <c r="F454" s="14">
        <v>47733241.810000002</v>
      </c>
      <c r="G454" s="12">
        <v>4.21</v>
      </c>
      <c r="H454" s="12">
        <v>63.71</v>
      </c>
      <c r="I454" s="12">
        <v>37.93</v>
      </c>
      <c r="J454" s="12">
        <v>70.52</v>
      </c>
      <c r="K454" s="12">
        <v>74.59</v>
      </c>
      <c r="L454" s="15" t="s">
        <v>27</v>
      </c>
    </row>
    <row r="455" spans="1:12" x14ac:dyDescent="0.25">
      <c r="A455" s="16">
        <v>2021</v>
      </c>
      <c r="B455" s="17" t="s">
        <v>37</v>
      </c>
      <c r="C455" s="17" t="s">
        <v>29</v>
      </c>
      <c r="D455" s="17" t="s">
        <v>24</v>
      </c>
      <c r="E455" s="18">
        <v>28000</v>
      </c>
      <c r="F455" s="19">
        <v>39976458.880000003</v>
      </c>
      <c r="G455" s="17">
        <v>6.67</v>
      </c>
      <c r="H455" s="17">
        <v>56.79</v>
      </c>
      <c r="I455" s="17">
        <v>11.35</v>
      </c>
      <c r="J455" s="17">
        <v>240.77</v>
      </c>
      <c r="K455" s="17">
        <v>51.48</v>
      </c>
      <c r="L455" s="20" t="s">
        <v>15</v>
      </c>
    </row>
    <row r="456" spans="1:12" x14ac:dyDescent="0.25">
      <c r="A456" s="11">
        <v>2021</v>
      </c>
      <c r="B456" s="12" t="s">
        <v>37</v>
      </c>
      <c r="C456" s="12" t="s">
        <v>30</v>
      </c>
      <c r="D456" s="12" t="s">
        <v>24</v>
      </c>
      <c r="E456" s="13">
        <v>30537</v>
      </c>
      <c r="F456" s="14">
        <v>33782555.279999897</v>
      </c>
      <c r="G456" s="12">
        <v>6.26</v>
      </c>
      <c r="H456" s="12">
        <v>48.75</v>
      </c>
      <c r="I456" s="12">
        <v>15.75</v>
      </c>
      <c r="J456" s="12">
        <v>162.28</v>
      </c>
      <c r="K456" s="12">
        <v>64.739999999999995</v>
      </c>
      <c r="L456" s="15" t="s">
        <v>17</v>
      </c>
    </row>
    <row r="457" spans="1:12" x14ac:dyDescent="0.25">
      <c r="A457" s="16">
        <v>2021</v>
      </c>
      <c r="B457" s="17" t="s">
        <v>37</v>
      </c>
      <c r="C457" s="17" t="s">
        <v>31</v>
      </c>
      <c r="D457" s="17" t="s">
        <v>24</v>
      </c>
      <c r="E457" s="18">
        <v>16890</v>
      </c>
      <c r="F457" s="19">
        <v>10789418.339999899</v>
      </c>
      <c r="G457" s="17">
        <v>3.36</v>
      </c>
      <c r="H457" s="17">
        <v>73.7</v>
      </c>
      <c r="I457" s="17">
        <v>27.02</v>
      </c>
      <c r="J457" s="17">
        <v>202.39</v>
      </c>
      <c r="K457" s="17">
        <v>52.08</v>
      </c>
      <c r="L457" s="20" t="s">
        <v>27</v>
      </c>
    </row>
    <row r="458" spans="1:12" x14ac:dyDescent="0.25">
      <c r="A458" s="11">
        <v>2021</v>
      </c>
      <c r="B458" s="12" t="s">
        <v>37</v>
      </c>
      <c r="C458" s="12" t="s">
        <v>32</v>
      </c>
      <c r="D458" s="12" t="s">
        <v>24</v>
      </c>
      <c r="E458" s="13">
        <v>50895</v>
      </c>
      <c r="F458" s="14">
        <v>58673135.229999997</v>
      </c>
      <c r="G458" s="12">
        <v>5.33</v>
      </c>
      <c r="H458" s="12">
        <v>57.73</v>
      </c>
      <c r="I458" s="12">
        <v>31.67</v>
      </c>
      <c r="J458" s="12">
        <v>226.07</v>
      </c>
      <c r="K458" s="12">
        <v>94.36</v>
      </c>
      <c r="L458" s="15" t="s">
        <v>15</v>
      </c>
    </row>
    <row r="459" spans="1:12" x14ac:dyDescent="0.25">
      <c r="A459" s="16">
        <v>2021</v>
      </c>
      <c r="B459" s="17" t="s">
        <v>37</v>
      </c>
      <c r="C459" s="17" t="s">
        <v>33</v>
      </c>
      <c r="D459" s="17" t="s">
        <v>24</v>
      </c>
      <c r="E459" s="18">
        <v>14293</v>
      </c>
      <c r="F459" s="19">
        <v>84264943.840000004</v>
      </c>
      <c r="G459" s="17">
        <v>3.84</v>
      </c>
      <c r="H459" s="17">
        <v>95.98</v>
      </c>
      <c r="I459" s="17">
        <v>19.39</v>
      </c>
      <c r="J459" s="17">
        <v>139.82</v>
      </c>
      <c r="K459" s="17">
        <v>81.790000000000006</v>
      </c>
      <c r="L459" s="20" t="s">
        <v>15</v>
      </c>
    </row>
    <row r="460" spans="1:12" x14ac:dyDescent="0.25">
      <c r="A460" s="11">
        <v>2021</v>
      </c>
      <c r="B460" s="12" t="s">
        <v>37</v>
      </c>
      <c r="C460" s="12" t="s">
        <v>34</v>
      </c>
      <c r="D460" s="12" t="s">
        <v>24</v>
      </c>
      <c r="E460" s="13">
        <v>18172</v>
      </c>
      <c r="F460" s="14">
        <v>7206944.6519999998</v>
      </c>
      <c r="G460" s="12">
        <v>5.16</v>
      </c>
      <c r="H460" s="12">
        <v>68.44</v>
      </c>
      <c r="I460" s="12">
        <v>22.27</v>
      </c>
      <c r="J460" s="12">
        <v>184.61</v>
      </c>
      <c r="K460" s="12">
        <v>68.86</v>
      </c>
      <c r="L460" s="15" t="s">
        <v>27</v>
      </c>
    </row>
    <row r="461" spans="1:12" x14ac:dyDescent="0.25">
      <c r="A461" s="16">
        <v>2021</v>
      </c>
      <c r="B461" s="17" t="s">
        <v>37</v>
      </c>
      <c r="C461" s="17" t="s">
        <v>16</v>
      </c>
      <c r="D461" s="17" t="s">
        <v>14</v>
      </c>
      <c r="E461" s="18">
        <v>39415</v>
      </c>
      <c r="F461" s="19">
        <v>15774523.4</v>
      </c>
      <c r="G461" s="17">
        <v>3.44</v>
      </c>
      <c r="H461" s="17">
        <v>72.400000000000006</v>
      </c>
      <c r="I461" s="17">
        <v>38.090000000000003</v>
      </c>
      <c r="J461" s="17">
        <v>242.8</v>
      </c>
      <c r="K461" s="17">
        <v>86.48</v>
      </c>
      <c r="L461" s="20" t="s">
        <v>21</v>
      </c>
    </row>
    <row r="462" spans="1:12" x14ac:dyDescent="0.25">
      <c r="A462" s="11">
        <v>2021</v>
      </c>
      <c r="B462" s="12" t="s">
        <v>12</v>
      </c>
      <c r="C462" s="12" t="s">
        <v>13</v>
      </c>
      <c r="D462" s="12" t="s">
        <v>14</v>
      </c>
      <c r="E462" s="13">
        <v>44456</v>
      </c>
      <c r="F462" s="14">
        <v>14331275.99</v>
      </c>
      <c r="G462" s="12">
        <v>0.64999999999999902</v>
      </c>
      <c r="H462" s="12">
        <v>61.11</v>
      </c>
      <c r="I462" s="12">
        <v>40.369999999999997</v>
      </c>
      <c r="J462" s="12">
        <v>129.5</v>
      </c>
      <c r="K462" s="12">
        <v>66.930000000000007</v>
      </c>
      <c r="L462" s="15" t="s">
        <v>21</v>
      </c>
    </row>
    <row r="463" spans="1:12" x14ac:dyDescent="0.25">
      <c r="A463" s="16">
        <v>2021</v>
      </c>
      <c r="B463" s="17" t="s">
        <v>35</v>
      </c>
      <c r="C463" s="17" t="s">
        <v>30</v>
      </c>
      <c r="D463" s="17" t="s">
        <v>24</v>
      </c>
      <c r="E463" s="18">
        <v>27446</v>
      </c>
      <c r="F463" s="19">
        <v>66537700.595999897</v>
      </c>
      <c r="G463" s="17">
        <v>5.89</v>
      </c>
      <c r="H463" s="17">
        <v>93.07</v>
      </c>
      <c r="I463" s="17">
        <v>25.38</v>
      </c>
      <c r="J463" s="17">
        <v>199.61</v>
      </c>
      <c r="K463" s="17">
        <v>89.51</v>
      </c>
      <c r="L463" s="20" t="s">
        <v>21</v>
      </c>
    </row>
    <row r="464" spans="1:12" x14ac:dyDescent="0.25">
      <c r="A464" s="11">
        <v>2021</v>
      </c>
      <c r="B464" s="12" t="s">
        <v>37</v>
      </c>
      <c r="C464" s="12" t="s">
        <v>30</v>
      </c>
      <c r="D464" s="12" t="s">
        <v>24</v>
      </c>
      <c r="E464" s="13">
        <v>30537</v>
      </c>
      <c r="F464" s="14">
        <v>33782555.279999897</v>
      </c>
      <c r="G464" s="12">
        <v>6.26</v>
      </c>
      <c r="H464" s="12">
        <v>48.75</v>
      </c>
      <c r="I464" s="12">
        <v>15.75</v>
      </c>
      <c r="J464" s="12">
        <v>162.28</v>
      </c>
      <c r="K464" s="12">
        <v>64.739999999999995</v>
      </c>
      <c r="L464" s="15" t="s">
        <v>17</v>
      </c>
    </row>
    <row r="465" spans="1:12" x14ac:dyDescent="0.25">
      <c r="A465" s="16">
        <v>2021</v>
      </c>
      <c r="B465" s="17" t="s">
        <v>36</v>
      </c>
      <c r="C465" s="17" t="s">
        <v>26</v>
      </c>
      <c r="D465" s="17" t="s">
        <v>24</v>
      </c>
      <c r="E465" s="18">
        <v>24758</v>
      </c>
      <c r="F465" s="19">
        <v>51101597.950000003</v>
      </c>
      <c r="G465" s="17">
        <v>4.72</v>
      </c>
      <c r="H465" s="17">
        <v>98.62</v>
      </c>
      <c r="I465" s="17">
        <v>35.629999999999903</v>
      </c>
      <c r="J465" s="17">
        <v>259.73</v>
      </c>
      <c r="K465" s="17">
        <v>81.14</v>
      </c>
      <c r="L465" s="20" t="s">
        <v>19</v>
      </c>
    </row>
    <row r="466" spans="1:12" x14ac:dyDescent="0.25">
      <c r="A466" s="11">
        <v>2021</v>
      </c>
      <c r="B466" s="12" t="s">
        <v>35</v>
      </c>
      <c r="C466" s="12" t="s">
        <v>23</v>
      </c>
      <c r="D466" s="12" t="s">
        <v>24</v>
      </c>
      <c r="E466" s="13">
        <v>26634</v>
      </c>
      <c r="F466" s="14">
        <v>17977115.149999999</v>
      </c>
      <c r="G466" s="12">
        <v>2.97</v>
      </c>
      <c r="H466" s="12">
        <v>45.93</v>
      </c>
      <c r="I466" s="12">
        <v>52.08</v>
      </c>
      <c r="J466" s="12">
        <v>238.86</v>
      </c>
      <c r="K466" s="12">
        <v>74.08</v>
      </c>
      <c r="L466" s="15" t="s">
        <v>19</v>
      </c>
    </row>
    <row r="467" spans="1:12" x14ac:dyDescent="0.25">
      <c r="A467" s="16">
        <v>2021</v>
      </c>
      <c r="B467" s="17" t="s">
        <v>35</v>
      </c>
      <c r="C467" s="17" t="s">
        <v>29</v>
      </c>
      <c r="D467" s="17" t="s">
        <v>24</v>
      </c>
      <c r="E467" s="18">
        <v>31267</v>
      </c>
      <c r="F467" s="19">
        <v>31015491.109999999</v>
      </c>
      <c r="G467" s="17">
        <v>3.11</v>
      </c>
      <c r="H467" s="17">
        <v>75.22</v>
      </c>
      <c r="I467" s="17">
        <v>36.29</v>
      </c>
      <c r="J467" s="17">
        <v>75.66</v>
      </c>
      <c r="K467" s="17">
        <v>48.08</v>
      </c>
      <c r="L467" s="20" t="s">
        <v>27</v>
      </c>
    </row>
    <row r="468" spans="1:12" x14ac:dyDescent="0.25">
      <c r="A468" s="11">
        <v>2021</v>
      </c>
      <c r="B468" s="12" t="s">
        <v>35</v>
      </c>
      <c r="C468" s="12" t="s">
        <v>20</v>
      </c>
      <c r="D468" s="12" t="s">
        <v>14</v>
      </c>
      <c r="E468" s="13">
        <v>19360</v>
      </c>
      <c r="F468" s="14">
        <v>21067765.940000001</v>
      </c>
      <c r="G468" s="12">
        <v>0.71</v>
      </c>
      <c r="H468" s="12">
        <v>72.25</v>
      </c>
      <c r="I468" s="12">
        <v>24.64</v>
      </c>
      <c r="J468" s="12">
        <v>119.68</v>
      </c>
      <c r="K468" s="12">
        <v>71.099999999999994</v>
      </c>
      <c r="L468" s="15" t="s">
        <v>17</v>
      </c>
    </row>
    <row r="469" spans="1:12" x14ac:dyDescent="0.25">
      <c r="A469" s="16">
        <v>2021</v>
      </c>
      <c r="B469" s="17" t="s">
        <v>35</v>
      </c>
      <c r="C469" s="17" t="s">
        <v>29</v>
      </c>
      <c r="D469" s="17" t="s">
        <v>24</v>
      </c>
      <c r="E469" s="18">
        <v>31267</v>
      </c>
      <c r="F469" s="19">
        <v>31015491.109999999</v>
      </c>
      <c r="G469" s="17">
        <v>3.11</v>
      </c>
      <c r="H469" s="17">
        <v>75.22</v>
      </c>
      <c r="I469" s="17">
        <v>36.29</v>
      </c>
      <c r="J469" s="17">
        <v>75.66</v>
      </c>
      <c r="K469" s="17">
        <v>48.08</v>
      </c>
      <c r="L469" s="20" t="s">
        <v>27</v>
      </c>
    </row>
    <row r="470" spans="1:12" x14ac:dyDescent="0.25">
      <c r="A470" s="11">
        <v>2021</v>
      </c>
      <c r="B470" s="12" t="s">
        <v>36</v>
      </c>
      <c r="C470" s="12" t="s">
        <v>13</v>
      </c>
      <c r="D470" s="12" t="s">
        <v>14</v>
      </c>
      <c r="E470" s="13">
        <v>39031</v>
      </c>
      <c r="F470" s="14">
        <v>18608941.010000002</v>
      </c>
      <c r="G470" s="12">
        <v>3.81</v>
      </c>
      <c r="H470" s="12">
        <v>33.54</v>
      </c>
      <c r="I470" s="12">
        <v>15.3</v>
      </c>
      <c r="J470" s="12">
        <v>107.98</v>
      </c>
      <c r="K470" s="12">
        <v>58.3</v>
      </c>
      <c r="L470" s="15" t="s">
        <v>15</v>
      </c>
    </row>
    <row r="471" spans="1:12" x14ac:dyDescent="0.25">
      <c r="A471" s="16">
        <v>2021</v>
      </c>
      <c r="B471" s="17" t="s">
        <v>12</v>
      </c>
      <c r="C471" s="17" t="s">
        <v>33</v>
      </c>
      <c r="D471" s="17" t="s">
        <v>24</v>
      </c>
      <c r="E471" s="18">
        <v>60093</v>
      </c>
      <c r="F471" s="19">
        <v>79592293.1639999</v>
      </c>
      <c r="G471" s="17">
        <v>3.24</v>
      </c>
      <c r="H471" s="17">
        <v>68.56</v>
      </c>
      <c r="I471" s="17">
        <v>48.17</v>
      </c>
      <c r="J471" s="17">
        <v>130.83000000000001</v>
      </c>
      <c r="K471" s="17">
        <v>75.69</v>
      </c>
      <c r="L471" s="20" t="s">
        <v>17</v>
      </c>
    </row>
    <row r="472" spans="1:12" x14ac:dyDescent="0.25">
      <c r="A472" s="11">
        <v>2021</v>
      </c>
      <c r="B472" s="12" t="s">
        <v>12</v>
      </c>
      <c r="C472" s="12" t="s">
        <v>25</v>
      </c>
      <c r="D472" s="12" t="s">
        <v>24</v>
      </c>
      <c r="E472" s="13">
        <v>57898</v>
      </c>
      <c r="F472" s="14">
        <v>19848318.309999999</v>
      </c>
      <c r="G472" s="12">
        <v>4.43</v>
      </c>
      <c r="H472" s="12">
        <v>45.27</v>
      </c>
      <c r="I472" s="12">
        <v>23.12</v>
      </c>
      <c r="J472" s="12">
        <v>277.64999999999998</v>
      </c>
      <c r="K472" s="12">
        <v>55.07</v>
      </c>
      <c r="L472" s="15" t="s">
        <v>17</v>
      </c>
    </row>
    <row r="473" spans="1:12" x14ac:dyDescent="0.25">
      <c r="A473" s="16">
        <v>2021</v>
      </c>
      <c r="B473" s="17" t="s">
        <v>36</v>
      </c>
      <c r="C473" s="17" t="s">
        <v>20</v>
      </c>
      <c r="D473" s="17" t="s">
        <v>14</v>
      </c>
      <c r="E473" s="18">
        <v>42820</v>
      </c>
      <c r="F473" s="19">
        <v>29532856.460000001</v>
      </c>
      <c r="G473" s="17">
        <v>-0.47</v>
      </c>
      <c r="H473" s="17">
        <v>68.239999999999995</v>
      </c>
      <c r="I473" s="17">
        <v>19.11</v>
      </c>
      <c r="J473" s="17">
        <v>188.16</v>
      </c>
      <c r="K473" s="17">
        <v>46.5</v>
      </c>
      <c r="L473" s="20" t="s">
        <v>17</v>
      </c>
    </row>
    <row r="474" spans="1:12" x14ac:dyDescent="0.25">
      <c r="A474" s="11">
        <v>2021</v>
      </c>
      <c r="B474" s="12" t="s">
        <v>35</v>
      </c>
      <c r="C474" s="12" t="s">
        <v>13</v>
      </c>
      <c r="D474" s="12" t="s">
        <v>14</v>
      </c>
      <c r="E474" s="13">
        <v>33392</v>
      </c>
      <c r="F474" s="14">
        <v>40200175.950000003</v>
      </c>
      <c r="G474" s="12">
        <v>-0.14000000000000001</v>
      </c>
      <c r="H474" s="12">
        <v>69.319999999999993</v>
      </c>
      <c r="I474" s="12">
        <v>24.76</v>
      </c>
      <c r="J474" s="12">
        <v>255.14</v>
      </c>
      <c r="K474" s="12">
        <v>39.33</v>
      </c>
      <c r="L474" s="15" t="s">
        <v>21</v>
      </c>
    </row>
    <row r="475" spans="1:12" x14ac:dyDescent="0.25">
      <c r="A475" s="16">
        <v>2021</v>
      </c>
      <c r="B475" s="17" t="s">
        <v>12</v>
      </c>
      <c r="C475" s="17" t="s">
        <v>16</v>
      </c>
      <c r="D475" s="17" t="s">
        <v>14</v>
      </c>
      <c r="E475" s="18">
        <v>6548</v>
      </c>
      <c r="F475" s="19">
        <v>54168172.520000003</v>
      </c>
      <c r="G475" s="17">
        <v>2.64</v>
      </c>
      <c r="H475" s="17">
        <v>63.01</v>
      </c>
      <c r="I475" s="17">
        <v>17.850000000000001</v>
      </c>
      <c r="J475" s="17">
        <v>279.58</v>
      </c>
      <c r="K475" s="17">
        <v>73.97</v>
      </c>
      <c r="L475" s="20" t="s">
        <v>27</v>
      </c>
    </row>
    <row r="476" spans="1:12" x14ac:dyDescent="0.25">
      <c r="A476" s="11">
        <v>2021</v>
      </c>
      <c r="B476" s="12" t="s">
        <v>35</v>
      </c>
      <c r="C476" s="12" t="s">
        <v>34</v>
      </c>
      <c r="D476" s="12" t="s">
        <v>24</v>
      </c>
      <c r="E476" s="13">
        <v>34710</v>
      </c>
      <c r="F476" s="14">
        <v>17998844.949999999</v>
      </c>
      <c r="G476" s="12">
        <v>5.2799999999999896</v>
      </c>
      <c r="H476" s="12">
        <v>61.27</v>
      </c>
      <c r="I476" s="12">
        <v>11.75</v>
      </c>
      <c r="J476" s="12">
        <v>237.56</v>
      </c>
      <c r="K476" s="12">
        <v>76.8</v>
      </c>
      <c r="L476" s="15" t="s">
        <v>19</v>
      </c>
    </row>
    <row r="477" spans="1:12" x14ac:dyDescent="0.25">
      <c r="A477" s="16">
        <v>2021</v>
      </c>
      <c r="B477" s="17" t="s">
        <v>35</v>
      </c>
      <c r="C477" s="17" t="s">
        <v>25</v>
      </c>
      <c r="D477" s="17" t="s">
        <v>24</v>
      </c>
      <c r="E477" s="18">
        <v>36653</v>
      </c>
      <c r="F477" s="19">
        <v>38555751.189999998</v>
      </c>
      <c r="G477" s="17">
        <v>4.34</v>
      </c>
      <c r="H477" s="17">
        <v>88.65</v>
      </c>
      <c r="I477" s="17">
        <v>27.12</v>
      </c>
      <c r="J477" s="17">
        <v>280.3</v>
      </c>
      <c r="K477" s="17">
        <v>66</v>
      </c>
      <c r="L477" s="20" t="s">
        <v>19</v>
      </c>
    </row>
    <row r="478" spans="1:12" x14ac:dyDescent="0.25">
      <c r="A478" s="11">
        <v>2021</v>
      </c>
      <c r="B478" s="12" t="s">
        <v>12</v>
      </c>
      <c r="C478" s="12" t="s">
        <v>22</v>
      </c>
      <c r="D478" s="12" t="s">
        <v>14</v>
      </c>
      <c r="E478" s="13">
        <v>34090</v>
      </c>
      <c r="F478" s="14">
        <v>7777936.3679999998</v>
      </c>
      <c r="G478" s="12">
        <v>3.54</v>
      </c>
      <c r="H478" s="12">
        <v>71.27</v>
      </c>
      <c r="I478" s="12">
        <v>41.68</v>
      </c>
      <c r="J478" s="12">
        <v>171.59</v>
      </c>
      <c r="K478" s="12">
        <v>50.17</v>
      </c>
      <c r="L478" s="15" t="s">
        <v>19</v>
      </c>
    </row>
    <row r="479" spans="1:12" x14ac:dyDescent="0.25">
      <c r="A479" s="16">
        <v>2021</v>
      </c>
      <c r="B479" s="17" t="s">
        <v>35</v>
      </c>
      <c r="C479" s="17" t="s">
        <v>22</v>
      </c>
      <c r="D479" s="17" t="s">
        <v>14</v>
      </c>
      <c r="E479" s="18">
        <v>41937</v>
      </c>
      <c r="F479" s="19">
        <v>10442280.66</v>
      </c>
      <c r="G479" s="17">
        <v>-0.2</v>
      </c>
      <c r="H479" s="17">
        <v>67</v>
      </c>
      <c r="I479" s="17">
        <v>23.33</v>
      </c>
      <c r="J479" s="17">
        <v>106.63</v>
      </c>
      <c r="K479" s="17">
        <v>42.6</v>
      </c>
      <c r="L479" s="20" t="s">
        <v>15</v>
      </c>
    </row>
    <row r="480" spans="1:12" x14ac:dyDescent="0.25">
      <c r="A480" s="11">
        <v>2021</v>
      </c>
      <c r="B480" s="12" t="s">
        <v>37</v>
      </c>
      <c r="C480" s="12" t="s">
        <v>23</v>
      </c>
      <c r="D480" s="12" t="s">
        <v>24</v>
      </c>
      <c r="E480" s="13">
        <v>7653</v>
      </c>
      <c r="F480" s="14">
        <v>25848407.75</v>
      </c>
      <c r="G480" s="12">
        <v>6.33</v>
      </c>
      <c r="H480" s="12">
        <v>66.02</v>
      </c>
      <c r="I480" s="12">
        <v>9.81</v>
      </c>
      <c r="J480" s="12">
        <v>183.48</v>
      </c>
      <c r="K480" s="12">
        <v>54.28</v>
      </c>
      <c r="L480" s="15" t="s">
        <v>19</v>
      </c>
    </row>
    <row r="481" spans="1:12" x14ac:dyDescent="0.25">
      <c r="A481" s="16">
        <v>2021</v>
      </c>
      <c r="B481" s="17" t="s">
        <v>35</v>
      </c>
      <c r="C481" s="17" t="s">
        <v>32</v>
      </c>
      <c r="D481" s="17" t="s">
        <v>24</v>
      </c>
      <c r="E481" s="18">
        <v>33576</v>
      </c>
      <c r="F481" s="19">
        <v>15758344.550000001</v>
      </c>
      <c r="G481" s="17">
        <v>6.65</v>
      </c>
      <c r="H481" s="17">
        <v>73.37</v>
      </c>
      <c r="I481" s="17">
        <v>14.85</v>
      </c>
      <c r="J481" s="17">
        <v>69.650000000000006</v>
      </c>
      <c r="K481" s="17">
        <v>58.52</v>
      </c>
      <c r="L481" s="20" t="s">
        <v>27</v>
      </c>
    </row>
    <row r="482" spans="1:12" x14ac:dyDescent="0.25">
      <c r="A482" s="11">
        <v>2021</v>
      </c>
      <c r="B482" s="12" t="s">
        <v>36</v>
      </c>
      <c r="C482" s="12" t="s">
        <v>16</v>
      </c>
      <c r="D482" s="12" t="s">
        <v>14</v>
      </c>
      <c r="E482" s="13">
        <v>34903</v>
      </c>
      <c r="F482" s="14">
        <v>18518248.489999998</v>
      </c>
      <c r="G482" s="12">
        <v>2.0499999999999998</v>
      </c>
      <c r="H482" s="12">
        <v>53.32</v>
      </c>
      <c r="I482" s="12">
        <v>5.41</v>
      </c>
      <c r="J482" s="12">
        <v>217.97</v>
      </c>
      <c r="K482" s="12">
        <v>54.81</v>
      </c>
      <c r="L482" s="15" t="s">
        <v>27</v>
      </c>
    </row>
    <row r="483" spans="1:12" x14ac:dyDescent="0.25">
      <c r="A483" s="16">
        <v>2021</v>
      </c>
      <c r="B483" s="17" t="s">
        <v>12</v>
      </c>
      <c r="C483" s="17" t="s">
        <v>20</v>
      </c>
      <c r="D483" s="17" t="s">
        <v>14</v>
      </c>
      <c r="E483" s="18">
        <v>36476</v>
      </c>
      <c r="F483" s="19">
        <v>9769649.4360000007</v>
      </c>
      <c r="G483" s="17">
        <v>0.39999999999999902</v>
      </c>
      <c r="H483" s="17">
        <v>67.05</v>
      </c>
      <c r="I483" s="17">
        <v>29.96</v>
      </c>
      <c r="J483" s="17">
        <v>138.12</v>
      </c>
      <c r="K483" s="17">
        <v>52.54</v>
      </c>
      <c r="L483" s="20" t="s">
        <v>27</v>
      </c>
    </row>
    <row r="484" spans="1:12" x14ac:dyDescent="0.25">
      <c r="A484" s="11">
        <v>2021</v>
      </c>
      <c r="B484" s="12" t="s">
        <v>36</v>
      </c>
      <c r="C484" s="12" t="s">
        <v>28</v>
      </c>
      <c r="D484" s="12" t="s">
        <v>24</v>
      </c>
      <c r="E484" s="13">
        <v>50384</v>
      </c>
      <c r="F484" s="14">
        <v>16798329.649999999</v>
      </c>
      <c r="G484" s="12">
        <v>4.3599999999999897</v>
      </c>
      <c r="H484" s="12">
        <v>89.43</v>
      </c>
      <c r="I484" s="12">
        <v>51.51</v>
      </c>
      <c r="J484" s="12">
        <v>132.01</v>
      </c>
      <c r="K484" s="12">
        <v>80.989999999999995</v>
      </c>
      <c r="L484" s="15" t="s">
        <v>15</v>
      </c>
    </row>
    <row r="485" spans="1:12" x14ac:dyDescent="0.25">
      <c r="A485" s="16">
        <v>2021</v>
      </c>
      <c r="B485" s="17" t="s">
        <v>35</v>
      </c>
      <c r="C485" s="17" t="s">
        <v>32</v>
      </c>
      <c r="D485" s="17" t="s">
        <v>24</v>
      </c>
      <c r="E485" s="18">
        <v>33576</v>
      </c>
      <c r="F485" s="19">
        <v>15758344.550000001</v>
      </c>
      <c r="G485" s="17">
        <v>6.65</v>
      </c>
      <c r="H485" s="17">
        <v>73.37</v>
      </c>
      <c r="I485" s="17">
        <v>14.85</v>
      </c>
      <c r="J485" s="17">
        <v>69.650000000000006</v>
      </c>
      <c r="K485" s="17">
        <v>58.52</v>
      </c>
      <c r="L485" s="20" t="s">
        <v>27</v>
      </c>
    </row>
    <row r="486" spans="1:12" x14ac:dyDescent="0.25">
      <c r="A486" s="11">
        <v>2021</v>
      </c>
      <c r="B486" s="12" t="s">
        <v>35</v>
      </c>
      <c r="C486" s="12" t="s">
        <v>32</v>
      </c>
      <c r="D486" s="12" t="s">
        <v>24</v>
      </c>
      <c r="E486" s="13">
        <v>33576</v>
      </c>
      <c r="F486" s="14">
        <v>15758344.550000001</v>
      </c>
      <c r="G486" s="12">
        <v>6.65</v>
      </c>
      <c r="H486" s="12">
        <v>73.37</v>
      </c>
      <c r="I486" s="12">
        <v>14.85</v>
      </c>
      <c r="J486" s="12">
        <v>69.650000000000006</v>
      </c>
      <c r="K486" s="12">
        <v>58.52</v>
      </c>
      <c r="L486" s="15" t="s">
        <v>27</v>
      </c>
    </row>
    <row r="487" spans="1:12" x14ac:dyDescent="0.25">
      <c r="A487" s="16">
        <v>2021</v>
      </c>
      <c r="B487" s="17" t="s">
        <v>36</v>
      </c>
      <c r="C487" s="17" t="s">
        <v>30</v>
      </c>
      <c r="D487" s="17" t="s">
        <v>24</v>
      </c>
      <c r="E487" s="18">
        <v>54330</v>
      </c>
      <c r="F487" s="19">
        <v>37269680.390000001</v>
      </c>
      <c r="G487" s="17">
        <v>6.02</v>
      </c>
      <c r="H487" s="17">
        <v>48.4</v>
      </c>
      <c r="I487" s="17">
        <v>15.34</v>
      </c>
      <c r="J487" s="17">
        <v>212.64</v>
      </c>
      <c r="K487" s="17">
        <v>88.87</v>
      </c>
      <c r="L487" s="20" t="s">
        <v>19</v>
      </c>
    </row>
    <row r="488" spans="1:12" x14ac:dyDescent="0.25">
      <c r="A488" s="11">
        <v>2021</v>
      </c>
      <c r="B488" s="12" t="s">
        <v>35</v>
      </c>
      <c r="C488" s="12" t="s">
        <v>31</v>
      </c>
      <c r="D488" s="12" t="s">
        <v>24</v>
      </c>
      <c r="E488" s="13">
        <v>60479</v>
      </c>
      <c r="F488" s="14">
        <v>80946999.2519999</v>
      </c>
      <c r="G488" s="12">
        <v>4.3599999999999897</v>
      </c>
      <c r="H488" s="12">
        <v>41.23</v>
      </c>
      <c r="I488" s="12">
        <v>45.34</v>
      </c>
      <c r="J488" s="12">
        <v>215.46</v>
      </c>
      <c r="K488" s="12">
        <v>49.82</v>
      </c>
      <c r="L488" s="15" t="s">
        <v>17</v>
      </c>
    </row>
    <row r="489" spans="1:12" x14ac:dyDescent="0.25">
      <c r="A489" s="16">
        <v>2021</v>
      </c>
      <c r="B489" s="17" t="s">
        <v>37</v>
      </c>
      <c r="C489" s="17" t="s">
        <v>28</v>
      </c>
      <c r="D489" s="17" t="s">
        <v>24</v>
      </c>
      <c r="E489" s="18">
        <v>40197</v>
      </c>
      <c r="F489" s="19">
        <v>47733241.810000002</v>
      </c>
      <c r="G489" s="17">
        <v>4.21</v>
      </c>
      <c r="H489" s="17">
        <v>63.71</v>
      </c>
      <c r="I489" s="17">
        <v>37.93</v>
      </c>
      <c r="J489" s="17">
        <v>70.52</v>
      </c>
      <c r="K489" s="17">
        <v>74.59</v>
      </c>
      <c r="L489" s="20" t="s">
        <v>27</v>
      </c>
    </row>
    <row r="490" spans="1:12" x14ac:dyDescent="0.25">
      <c r="A490" s="11">
        <v>2021</v>
      </c>
      <c r="B490" s="12" t="s">
        <v>36</v>
      </c>
      <c r="C490" s="12" t="s">
        <v>13</v>
      </c>
      <c r="D490" s="12" t="s">
        <v>14</v>
      </c>
      <c r="E490" s="13">
        <v>39031</v>
      </c>
      <c r="F490" s="14">
        <v>18608941.010000002</v>
      </c>
      <c r="G490" s="12">
        <v>3.81</v>
      </c>
      <c r="H490" s="12">
        <v>33.54</v>
      </c>
      <c r="I490" s="12">
        <v>15.3</v>
      </c>
      <c r="J490" s="12">
        <v>107.98</v>
      </c>
      <c r="K490" s="12">
        <v>58.3</v>
      </c>
      <c r="L490" s="15" t="s">
        <v>15</v>
      </c>
    </row>
    <row r="491" spans="1:12" x14ac:dyDescent="0.25">
      <c r="A491" s="16">
        <v>2021</v>
      </c>
      <c r="B491" s="17" t="s">
        <v>12</v>
      </c>
      <c r="C491" s="17" t="s">
        <v>20</v>
      </c>
      <c r="D491" s="17" t="s">
        <v>14</v>
      </c>
      <c r="E491" s="18">
        <v>36476</v>
      </c>
      <c r="F491" s="19">
        <v>9769649.4360000007</v>
      </c>
      <c r="G491" s="17">
        <v>0.39999999999999902</v>
      </c>
      <c r="H491" s="17">
        <v>67.05</v>
      </c>
      <c r="I491" s="17">
        <v>29.96</v>
      </c>
      <c r="J491" s="17">
        <v>138.12</v>
      </c>
      <c r="K491" s="17">
        <v>52.54</v>
      </c>
      <c r="L491" s="20" t="s">
        <v>27</v>
      </c>
    </row>
    <row r="492" spans="1:12" x14ac:dyDescent="0.25">
      <c r="A492" s="11">
        <v>2021</v>
      </c>
      <c r="B492" s="12" t="s">
        <v>12</v>
      </c>
      <c r="C492" s="12" t="s">
        <v>20</v>
      </c>
      <c r="D492" s="12" t="s">
        <v>14</v>
      </c>
      <c r="E492" s="13">
        <v>36476</v>
      </c>
      <c r="F492" s="14">
        <v>9769649.4360000007</v>
      </c>
      <c r="G492" s="12">
        <v>0.39999999999999902</v>
      </c>
      <c r="H492" s="12">
        <v>67.05</v>
      </c>
      <c r="I492" s="12">
        <v>29.96</v>
      </c>
      <c r="J492" s="12">
        <v>138.12</v>
      </c>
      <c r="K492" s="12">
        <v>52.54</v>
      </c>
      <c r="L492" s="15" t="s">
        <v>27</v>
      </c>
    </row>
    <row r="493" spans="1:12" x14ac:dyDescent="0.25">
      <c r="A493" s="16">
        <v>2021</v>
      </c>
      <c r="B493" s="17" t="s">
        <v>12</v>
      </c>
      <c r="C493" s="17" t="s">
        <v>22</v>
      </c>
      <c r="D493" s="17" t="s">
        <v>14</v>
      </c>
      <c r="E493" s="18">
        <v>34090</v>
      </c>
      <c r="F493" s="19">
        <v>7777936.3679999998</v>
      </c>
      <c r="G493" s="17">
        <v>3.54</v>
      </c>
      <c r="H493" s="17">
        <v>71.27</v>
      </c>
      <c r="I493" s="17">
        <v>41.68</v>
      </c>
      <c r="J493" s="17">
        <v>171.59</v>
      </c>
      <c r="K493" s="17">
        <v>50.17</v>
      </c>
      <c r="L493" s="20" t="s">
        <v>19</v>
      </c>
    </row>
    <row r="494" spans="1:12" x14ac:dyDescent="0.25">
      <c r="A494" s="11">
        <v>2021</v>
      </c>
      <c r="B494" s="12" t="s">
        <v>37</v>
      </c>
      <c r="C494" s="12" t="s">
        <v>30</v>
      </c>
      <c r="D494" s="12" t="s">
        <v>24</v>
      </c>
      <c r="E494" s="13">
        <v>30537</v>
      </c>
      <c r="F494" s="14">
        <v>33782555.279999897</v>
      </c>
      <c r="G494" s="12">
        <v>6.26</v>
      </c>
      <c r="H494" s="12">
        <v>48.75</v>
      </c>
      <c r="I494" s="12">
        <v>15.75</v>
      </c>
      <c r="J494" s="12">
        <v>162.28</v>
      </c>
      <c r="K494" s="12">
        <v>64.739999999999995</v>
      </c>
      <c r="L494" s="15" t="s">
        <v>17</v>
      </c>
    </row>
    <row r="495" spans="1:12" x14ac:dyDescent="0.25">
      <c r="A495" s="16">
        <v>2021</v>
      </c>
      <c r="B495" s="17" t="s">
        <v>36</v>
      </c>
      <c r="C495" s="17" t="s">
        <v>30</v>
      </c>
      <c r="D495" s="17" t="s">
        <v>24</v>
      </c>
      <c r="E495" s="18">
        <v>54330</v>
      </c>
      <c r="F495" s="19">
        <v>37269680.390000001</v>
      </c>
      <c r="G495" s="17">
        <v>6.02</v>
      </c>
      <c r="H495" s="17">
        <v>48.4</v>
      </c>
      <c r="I495" s="17">
        <v>15.34</v>
      </c>
      <c r="J495" s="17">
        <v>212.64</v>
      </c>
      <c r="K495" s="17">
        <v>88.87</v>
      </c>
      <c r="L495" s="20" t="s">
        <v>19</v>
      </c>
    </row>
    <row r="496" spans="1:12" x14ac:dyDescent="0.25">
      <c r="A496" s="11">
        <v>2021</v>
      </c>
      <c r="B496" s="12" t="s">
        <v>37</v>
      </c>
      <c r="C496" s="12" t="s">
        <v>31</v>
      </c>
      <c r="D496" s="12" t="s">
        <v>24</v>
      </c>
      <c r="E496" s="13">
        <v>16890</v>
      </c>
      <c r="F496" s="14">
        <v>10789418.339999899</v>
      </c>
      <c r="G496" s="12">
        <v>3.36</v>
      </c>
      <c r="H496" s="12">
        <v>73.7</v>
      </c>
      <c r="I496" s="12">
        <v>27.02</v>
      </c>
      <c r="J496" s="12">
        <v>202.39</v>
      </c>
      <c r="K496" s="12">
        <v>52.08</v>
      </c>
      <c r="L496" s="15" t="s">
        <v>27</v>
      </c>
    </row>
    <row r="497" spans="1:12" x14ac:dyDescent="0.25">
      <c r="A497" s="16">
        <v>2021</v>
      </c>
      <c r="B497" s="17" t="s">
        <v>36</v>
      </c>
      <c r="C497" s="17" t="s">
        <v>28</v>
      </c>
      <c r="D497" s="17" t="s">
        <v>24</v>
      </c>
      <c r="E497" s="18">
        <v>50384</v>
      </c>
      <c r="F497" s="19">
        <v>16798329.649999999</v>
      </c>
      <c r="G497" s="17">
        <v>4.3599999999999897</v>
      </c>
      <c r="H497" s="17">
        <v>89.43</v>
      </c>
      <c r="I497" s="17">
        <v>51.51</v>
      </c>
      <c r="J497" s="17">
        <v>132.01</v>
      </c>
      <c r="K497" s="17">
        <v>80.989999999999995</v>
      </c>
      <c r="L497" s="20" t="s">
        <v>15</v>
      </c>
    </row>
    <row r="498" spans="1:12" x14ac:dyDescent="0.25">
      <c r="A498" s="11">
        <v>2021</v>
      </c>
      <c r="B498" s="12" t="s">
        <v>35</v>
      </c>
      <c r="C498" s="12" t="s">
        <v>22</v>
      </c>
      <c r="D498" s="12" t="s">
        <v>14</v>
      </c>
      <c r="E498" s="13">
        <v>41937</v>
      </c>
      <c r="F498" s="14">
        <v>10442280.66</v>
      </c>
      <c r="G498" s="12">
        <v>-0.2</v>
      </c>
      <c r="H498" s="12">
        <v>67</v>
      </c>
      <c r="I498" s="12">
        <v>23.33</v>
      </c>
      <c r="J498" s="12">
        <v>106.63</v>
      </c>
      <c r="K498" s="12">
        <v>42.6</v>
      </c>
      <c r="L498" s="15" t="s">
        <v>15</v>
      </c>
    </row>
    <row r="499" spans="1:12" x14ac:dyDescent="0.25">
      <c r="A499" s="16">
        <v>2021</v>
      </c>
      <c r="B499" s="17" t="s">
        <v>35</v>
      </c>
      <c r="C499" s="17" t="s">
        <v>23</v>
      </c>
      <c r="D499" s="17" t="s">
        <v>24</v>
      </c>
      <c r="E499" s="18">
        <v>26634</v>
      </c>
      <c r="F499" s="19">
        <v>17977115.149999999</v>
      </c>
      <c r="G499" s="17">
        <v>2.97</v>
      </c>
      <c r="H499" s="17">
        <v>45.93</v>
      </c>
      <c r="I499" s="17">
        <v>52.08</v>
      </c>
      <c r="J499" s="17">
        <v>238.86</v>
      </c>
      <c r="K499" s="17">
        <v>74.08</v>
      </c>
      <c r="L499" s="20" t="s">
        <v>19</v>
      </c>
    </row>
    <row r="500" spans="1:12" x14ac:dyDescent="0.25">
      <c r="A500" s="11">
        <v>2021</v>
      </c>
      <c r="B500" s="12" t="s">
        <v>37</v>
      </c>
      <c r="C500" s="12" t="s">
        <v>32</v>
      </c>
      <c r="D500" s="12" t="s">
        <v>24</v>
      </c>
      <c r="E500" s="13">
        <v>50895</v>
      </c>
      <c r="F500" s="14">
        <v>58673135.229999997</v>
      </c>
      <c r="G500" s="12">
        <v>5.33</v>
      </c>
      <c r="H500" s="12">
        <v>57.73</v>
      </c>
      <c r="I500" s="12">
        <v>31.67</v>
      </c>
      <c r="J500" s="12">
        <v>226.07</v>
      </c>
      <c r="K500" s="12">
        <v>94.36</v>
      </c>
      <c r="L500" s="15" t="s">
        <v>15</v>
      </c>
    </row>
    <row r="501" spans="1:12" x14ac:dyDescent="0.25">
      <c r="A501" s="16">
        <v>2021</v>
      </c>
      <c r="B501" s="17" t="s">
        <v>12</v>
      </c>
      <c r="C501" s="17" t="s">
        <v>18</v>
      </c>
      <c r="D501" s="17" t="s">
        <v>14</v>
      </c>
      <c r="E501" s="18">
        <v>36129</v>
      </c>
      <c r="F501" s="19">
        <v>28657040.440000001</v>
      </c>
      <c r="G501" s="17">
        <v>0.49</v>
      </c>
      <c r="H501" s="17">
        <v>60.6</v>
      </c>
      <c r="I501" s="17">
        <v>1.5699999999999901</v>
      </c>
      <c r="J501" s="17">
        <v>209.38</v>
      </c>
      <c r="K501" s="17">
        <v>62.41</v>
      </c>
      <c r="L501" s="20" t="s">
        <v>19</v>
      </c>
    </row>
    <row r="502" spans="1:12" x14ac:dyDescent="0.25">
      <c r="A502" s="11">
        <v>2021</v>
      </c>
      <c r="B502" s="12" t="s">
        <v>37</v>
      </c>
      <c r="C502" s="12" t="s">
        <v>30</v>
      </c>
      <c r="D502" s="12" t="s">
        <v>24</v>
      </c>
      <c r="E502" s="13">
        <v>30537</v>
      </c>
      <c r="F502" s="14">
        <v>33782555.279999897</v>
      </c>
      <c r="G502" s="12">
        <v>6.26</v>
      </c>
      <c r="H502" s="12">
        <v>48.75</v>
      </c>
      <c r="I502" s="12">
        <v>15.75</v>
      </c>
      <c r="J502" s="12">
        <v>162.28</v>
      </c>
      <c r="K502" s="12">
        <v>64.739999999999995</v>
      </c>
      <c r="L502" s="15" t="s">
        <v>17</v>
      </c>
    </row>
    <row r="503" spans="1:12" x14ac:dyDescent="0.25">
      <c r="A503" s="16">
        <v>2021</v>
      </c>
      <c r="B503" s="17" t="s">
        <v>35</v>
      </c>
      <c r="C503" s="17" t="s">
        <v>13</v>
      </c>
      <c r="D503" s="17" t="s">
        <v>14</v>
      </c>
      <c r="E503" s="18">
        <v>33392</v>
      </c>
      <c r="F503" s="19">
        <v>40200175.950000003</v>
      </c>
      <c r="G503" s="17">
        <v>-0.14000000000000001</v>
      </c>
      <c r="H503" s="17">
        <v>69.319999999999993</v>
      </c>
      <c r="I503" s="17">
        <v>24.76</v>
      </c>
      <c r="J503" s="17">
        <v>255.14</v>
      </c>
      <c r="K503" s="17">
        <v>39.33</v>
      </c>
      <c r="L503" s="20" t="s">
        <v>21</v>
      </c>
    </row>
    <row r="504" spans="1:12" x14ac:dyDescent="0.25">
      <c r="A504" s="11">
        <v>2021</v>
      </c>
      <c r="B504" s="12" t="s">
        <v>12</v>
      </c>
      <c r="C504" s="12" t="s">
        <v>32</v>
      </c>
      <c r="D504" s="12" t="s">
        <v>24</v>
      </c>
      <c r="E504" s="13">
        <v>33689</v>
      </c>
      <c r="F504" s="14">
        <v>37582037.579999998</v>
      </c>
      <c r="G504" s="12">
        <v>6.06</v>
      </c>
      <c r="H504" s="12">
        <v>97.44</v>
      </c>
      <c r="I504" s="12">
        <v>25.59</v>
      </c>
      <c r="J504" s="12">
        <v>133.77000000000001</v>
      </c>
      <c r="K504" s="12">
        <v>92.93</v>
      </c>
      <c r="L504" s="15" t="s">
        <v>27</v>
      </c>
    </row>
    <row r="505" spans="1:12" x14ac:dyDescent="0.25">
      <c r="A505" s="16">
        <v>2021</v>
      </c>
      <c r="B505" s="17" t="s">
        <v>12</v>
      </c>
      <c r="C505" s="17" t="s">
        <v>30</v>
      </c>
      <c r="D505" s="17" t="s">
        <v>24</v>
      </c>
      <c r="E505" s="18">
        <v>42025</v>
      </c>
      <c r="F505" s="19">
        <v>46339655.030000001</v>
      </c>
      <c r="G505" s="17">
        <v>4.66</v>
      </c>
      <c r="H505" s="17">
        <v>82.85</v>
      </c>
      <c r="I505" s="17">
        <v>36.11</v>
      </c>
      <c r="J505" s="17">
        <v>176.96</v>
      </c>
      <c r="K505" s="17">
        <v>71.11</v>
      </c>
      <c r="L505" s="20" t="s">
        <v>21</v>
      </c>
    </row>
    <row r="506" spans="1:12" x14ac:dyDescent="0.25">
      <c r="A506" s="11">
        <v>2021</v>
      </c>
      <c r="B506" s="12" t="s">
        <v>35</v>
      </c>
      <c r="C506" s="12" t="s">
        <v>34</v>
      </c>
      <c r="D506" s="12" t="s">
        <v>24</v>
      </c>
      <c r="E506" s="13">
        <v>34710</v>
      </c>
      <c r="F506" s="14">
        <v>17998844.949999999</v>
      </c>
      <c r="G506" s="12">
        <v>5.2799999999999896</v>
      </c>
      <c r="H506" s="12">
        <v>61.27</v>
      </c>
      <c r="I506" s="12">
        <v>11.75</v>
      </c>
      <c r="J506" s="12">
        <v>237.56</v>
      </c>
      <c r="K506" s="12">
        <v>76.8</v>
      </c>
      <c r="L506" s="15" t="s">
        <v>19</v>
      </c>
    </row>
    <row r="507" spans="1:12" x14ac:dyDescent="0.25">
      <c r="A507" s="16">
        <v>2021</v>
      </c>
      <c r="B507" s="17" t="s">
        <v>37</v>
      </c>
      <c r="C507" s="17" t="s">
        <v>25</v>
      </c>
      <c r="D507" s="17" t="s">
        <v>24</v>
      </c>
      <c r="E507" s="18">
        <v>10112</v>
      </c>
      <c r="F507" s="19">
        <v>41338291.909999996</v>
      </c>
      <c r="G507" s="17">
        <v>3.44</v>
      </c>
      <c r="H507" s="17">
        <v>40.869999999999997</v>
      </c>
      <c r="I507" s="17">
        <v>37.22</v>
      </c>
      <c r="J507" s="17">
        <v>93.6</v>
      </c>
      <c r="K507" s="17">
        <v>72.67</v>
      </c>
      <c r="L507" s="20" t="s">
        <v>15</v>
      </c>
    </row>
    <row r="508" spans="1:12" x14ac:dyDescent="0.25">
      <c r="A508" s="11">
        <v>2021</v>
      </c>
      <c r="B508" s="12" t="s">
        <v>36</v>
      </c>
      <c r="C508" s="12" t="s">
        <v>13</v>
      </c>
      <c r="D508" s="12" t="s">
        <v>14</v>
      </c>
      <c r="E508" s="13">
        <v>39031</v>
      </c>
      <c r="F508" s="14">
        <v>18608941.010000002</v>
      </c>
      <c r="G508" s="12">
        <v>3.81</v>
      </c>
      <c r="H508" s="12">
        <v>33.54</v>
      </c>
      <c r="I508" s="12">
        <v>15.3</v>
      </c>
      <c r="J508" s="12">
        <v>107.98</v>
      </c>
      <c r="K508" s="12">
        <v>58.3</v>
      </c>
      <c r="L508" s="15" t="s">
        <v>15</v>
      </c>
    </row>
    <row r="509" spans="1:12" x14ac:dyDescent="0.25">
      <c r="A509" s="16">
        <v>2021</v>
      </c>
      <c r="B509" s="17" t="s">
        <v>36</v>
      </c>
      <c r="C509" s="17" t="s">
        <v>30</v>
      </c>
      <c r="D509" s="17" t="s">
        <v>24</v>
      </c>
      <c r="E509" s="18">
        <v>54330</v>
      </c>
      <c r="F509" s="19">
        <v>37269680.390000001</v>
      </c>
      <c r="G509" s="17">
        <v>6.02</v>
      </c>
      <c r="H509" s="17">
        <v>48.4</v>
      </c>
      <c r="I509" s="17">
        <v>15.34</v>
      </c>
      <c r="J509" s="17">
        <v>212.64</v>
      </c>
      <c r="K509" s="17">
        <v>88.87</v>
      </c>
      <c r="L509" s="20" t="s">
        <v>19</v>
      </c>
    </row>
    <row r="510" spans="1:12" x14ac:dyDescent="0.25">
      <c r="A510" s="11">
        <v>2021</v>
      </c>
      <c r="B510" s="12" t="s">
        <v>37</v>
      </c>
      <c r="C510" s="12" t="s">
        <v>22</v>
      </c>
      <c r="D510" s="12" t="s">
        <v>14</v>
      </c>
      <c r="E510" s="13">
        <v>39509</v>
      </c>
      <c r="F510" s="14">
        <v>57709591.710000001</v>
      </c>
      <c r="G510" s="12">
        <v>0.439999999999999</v>
      </c>
      <c r="H510" s="12">
        <v>52.43</v>
      </c>
      <c r="I510" s="12">
        <v>9.26</v>
      </c>
      <c r="J510" s="12">
        <v>214.47</v>
      </c>
      <c r="K510" s="12">
        <v>84.68</v>
      </c>
      <c r="L510" s="15" t="s">
        <v>19</v>
      </c>
    </row>
    <row r="511" spans="1:12" x14ac:dyDescent="0.25">
      <c r="A511" s="16">
        <v>2021</v>
      </c>
      <c r="B511" s="17" t="s">
        <v>35</v>
      </c>
      <c r="C511" s="17" t="s">
        <v>23</v>
      </c>
      <c r="D511" s="17" t="s">
        <v>24</v>
      </c>
      <c r="E511" s="18">
        <v>26634</v>
      </c>
      <c r="F511" s="19">
        <v>17977115.149999999</v>
      </c>
      <c r="G511" s="17">
        <v>2.97</v>
      </c>
      <c r="H511" s="17">
        <v>45.93</v>
      </c>
      <c r="I511" s="17">
        <v>52.08</v>
      </c>
      <c r="J511" s="17">
        <v>238.86</v>
      </c>
      <c r="K511" s="17">
        <v>74.08</v>
      </c>
      <c r="L511" s="20" t="s">
        <v>19</v>
      </c>
    </row>
    <row r="512" spans="1:12" x14ac:dyDescent="0.25">
      <c r="A512" s="11">
        <v>2022</v>
      </c>
      <c r="B512" s="12" t="s">
        <v>12</v>
      </c>
      <c r="C512" s="12" t="s">
        <v>13</v>
      </c>
      <c r="D512" s="12" t="s">
        <v>14</v>
      </c>
      <c r="E512" s="13">
        <v>23678</v>
      </c>
      <c r="F512" s="14">
        <v>23302026.23</v>
      </c>
      <c r="G512" s="12">
        <v>0.57999999999999996</v>
      </c>
      <c r="H512" s="12">
        <v>45.61</v>
      </c>
      <c r="I512" s="12">
        <v>43.79</v>
      </c>
      <c r="J512" s="12">
        <v>156.56</v>
      </c>
      <c r="K512" s="12">
        <v>72.06</v>
      </c>
      <c r="L512" s="15" t="s">
        <v>27</v>
      </c>
    </row>
    <row r="513" spans="1:12" x14ac:dyDescent="0.25">
      <c r="A513" s="16">
        <v>2022</v>
      </c>
      <c r="B513" s="17" t="s">
        <v>12</v>
      </c>
      <c r="C513" s="17" t="s">
        <v>16</v>
      </c>
      <c r="D513" s="17" t="s">
        <v>14</v>
      </c>
      <c r="E513" s="18">
        <v>24682</v>
      </c>
      <c r="F513" s="19">
        <v>30388420.881000001</v>
      </c>
      <c r="G513" s="17">
        <v>3.89</v>
      </c>
      <c r="H513" s="17">
        <v>65.349999999999994</v>
      </c>
      <c r="I513" s="17">
        <v>41.22</v>
      </c>
      <c r="J513" s="17">
        <v>202.74</v>
      </c>
      <c r="K513" s="17">
        <v>65.05</v>
      </c>
      <c r="L513" s="20" t="s">
        <v>17</v>
      </c>
    </row>
    <row r="514" spans="1:12" x14ac:dyDescent="0.25">
      <c r="A514" s="11">
        <v>2022</v>
      </c>
      <c r="B514" s="12" t="s">
        <v>12</v>
      </c>
      <c r="C514" s="12" t="s">
        <v>18</v>
      </c>
      <c r="D514" s="12" t="s">
        <v>14</v>
      </c>
      <c r="E514" s="13">
        <v>49869</v>
      </c>
      <c r="F514" s="14">
        <v>25015561.710000001</v>
      </c>
      <c r="G514" s="12">
        <v>-0.1</v>
      </c>
      <c r="H514" s="12">
        <v>66.77</v>
      </c>
      <c r="I514" s="12">
        <v>25.65</v>
      </c>
      <c r="J514" s="12">
        <v>137.77000000000001</v>
      </c>
      <c r="K514" s="12">
        <v>75.23</v>
      </c>
      <c r="L514" s="15" t="s">
        <v>21</v>
      </c>
    </row>
    <row r="515" spans="1:12" x14ac:dyDescent="0.25">
      <c r="A515" s="16">
        <v>2022</v>
      </c>
      <c r="B515" s="17" t="s">
        <v>12</v>
      </c>
      <c r="C515" s="17" t="s">
        <v>20</v>
      </c>
      <c r="D515" s="17" t="s">
        <v>14</v>
      </c>
      <c r="E515" s="18">
        <v>5718</v>
      </c>
      <c r="F515" s="19">
        <v>47611430.590000004</v>
      </c>
      <c r="G515" s="17">
        <v>3.4</v>
      </c>
      <c r="H515" s="17">
        <v>60.4</v>
      </c>
      <c r="I515" s="17">
        <v>15.37</v>
      </c>
      <c r="J515" s="17">
        <v>128.61000000000001</v>
      </c>
      <c r="K515" s="17">
        <v>41.67</v>
      </c>
      <c r="L515" s="20" t="s">
        <v>21</v>
      </c>
    </row>
    <row r="516" spans="1:12" x14ac:dyDescent="0.25">
      <c r="A516" s="11">
        <v>2022</v>
      </c>
      <c r="B516" s="12" t="s">
        <v>12</v>
      </c>
      <c r="C516" s="12" t="s">
        <v>22</v>
      </c>
      <c r="D516" s="12" t="s">
        <v>14</v>
      </c>
      <c r="E516" s="13">
        <v>35233</v>
      </c>
      <c r="F516" s="14">
        <v>10414206.279999999</v>
      </c>
      <c r="G516" s="12">
        <v>2.0099999999999998</v>
      </c>
      <c r="H516" s="12">
        <v>84.7</v>
      </c>
      <c r="I516" s="12">
        <v>12.7</v>
      </c>
      <c r="J516" s="12">
        <v>92.35</v>
      </c>
      <c r="K516" s="12">
        <v>51.97</v>
      </c>
      <c r="L516" s="15" t="s">
        <v>21</v>
      </c>
    </row>
    <row r="517" spans="1:12" x14ac:dyDescent="0.25">
      <c r="A517" s="16">
        <v>2022</v>
      </c>
      <c r="B517" s="17" t="s">
        <v>12</v>
      </c>
      <c r="C517" s="17" t="s">
        <v>23</v>
      </c>
      <c r="D517" s="17" t="s">
        <v>24</v>
      </c>
      <c r="E517" s="18">
        <v>41857</v>
      </c>
      <c r="F517" s="19">
        <v>71129083.790000007</v>
      </c>
      <c r="G517" s="17">
        <v>4.8599999999999897</v>
      </c>
      <c r="H517" s="17">
        <v>73.91</v>
      </c>
      <c r="I517" s="17">
        <v>45.53</v>
      </c>
      <c r="J517" s="17">
        <v>173.38</v>
      </c>
      <c r="K517" s="17">
        <v>53.59</v>
      </c>
      <c r="L517" s="20" t="s">
        <v>27</v>
      </c>
    </row>
    <row r="518" spans="1:12" x14ac:dyDescent="0.25">
      <c r="A518" s="11">
        <v>2022</v>
      </c>
      <c r="B518" s="12" t="s">
        <v>12</v>
      </c>
      <c r="C518" s="12" t="s">
        <v>25</v>
      </c>
      <c r="D518" s="12" t="s">
        <v>24</v>
      </c>
      <c r="E518" s="13">
        <v>33814</v>
      </c>
      <c r="F518" s="14">
        <v>62983632.700000003</v>
      </c>
      <c r="G518" s="12">
        <v>4.5599999999999996</v>
      </c>
      <c r="H518" s="12">
        <v>57.41</v>
      </c>
      <c r="I518" s="12">
        <v>21.53</v>
      </c>
      <c r="J518" s="12">
        <v>170.67</v>
      </c>
      <c r="K518" s="12">
        <v>72.61</v>
      </c>
      <c r="L518" s="15" t="s">
        <v>27</v>
      </c>
    </row>
    <row r="519" spans="1:12" x14ac:dyDescent="0.25">
      <c r="A519" s="16">
        <v>2022</v>
      </c>
      <c r="B519" s="17" t="s">
        <v>12</v>
      </c>
      <c r="C519" s="17" t="s">
        <v>26</v>
      </c>
      <c r="D519" s="17" t="s">
        <v>24</v>
      </c>
      <c r="E519" s="18">
        <v>35418</v>
      </c>
      <c r="F519" s="19">
        <v>14482116.279999999</v>
      </c>
      <c r="G519" s="17">
        <v>4.01</v>
      </c>
      <c r="H519" s="17">
        <v>91.45</v>
      </c>
      <c r="I519" s="17">
        <v>6.56</v>
      </c>
      <c r="J519" s="17">
        <v>157.75</v>
      </c>
      <c r="K519" s="17">
        <v>57.04</v>
      </c>
      <c r="L519" s="20" t="s">
        <v>27</v>
      </c>
    </row>
    <row r="520" spans="1:12" x14ac:dyDescent="0.25">
      <c r="A520" s="11">
        <v>2022</v>
      </c>
      <c r="B520" s="12" t="s">
        <v>12</v>
      </c>
      <c r="C520" s="12" t="s">
        <v>28</v>
      </c>
      <c r="D520" s="12" t="s">
        <v>24</v>
      </c>
      <c r="E520" s="13">
        <v>39933</v>
      </c>
      <c r="F520" s="14">
        <v>18632947.100000001</v>
      </c>
      <c r="G520" s="12">
        <v>2.56</v>
      </c>
      <c r="H520" s="12">
        <v>91.48</v>
      </c>
      <c r="I520" s="12">
        <v>41.08</v>
      </c>
      <c r="J520" s="12">
        <v>272.72000000000003</v>
      </c>
      <c r="K520" s="12">
        <v>57.82</v>
      </c>
      <c r="L520" s="15" t="s">
        <v>27</v>
      </c>
    </row>
    <row r="521" spans="1:12" x14ac:dyDescent="0.25">
      <c r="A521" s="16">
        <v>2022</v>
      </c>
      <c r="B521" s="17" t="s">
        <v>12</v>
      </c>
      <c r="C521" s="17" t="s">
        <v>29</v>
      </c>
      <c r="D521" s="17" t="s">
        <v>24</v>
      </c>
      <c r="E521" s="18">
        <v>6800</v>
      </c>
      <c r="F521" s="19">
        <v>6213699.6119999997</v>
      </c>
      <c r="G521" s="17">
        <v>6.1</v>
      </c>
      <c r="H521" s="17">
        <v>52.04</v>
      </c>
      <c r="I521" s="17">
        <v>54.21</v>
      </c>
      <c r="J521" s="17">
        <v>81.93</v>
      </c>
      <c r="K521" s="17">
        <v>52.88</v>
      </c>
      <c r="L521" s="20" t="s">
        <v>19</v>
      </c>
    </row>
    <row r="522" spans="1:12" x14ac:dyDescent="0.25">
      <c r="A522" s="11">
        <v>2022</v>
      </c>
      <c r="B522" s="12" t="s">
        <v>12</v>
      </c>
      <c r="C522" s="12" t="s">
        <v>30</v>
      </c>
      <c r="D522" s="12" t="s">
        <v>24</v>
      </c>
      <c r="E522" s="13">
        <v>6787</v>
      </c>
      <c r="F522" s="14">
        <v>52571041.670000002</v>
      </c>
      <c r="G522" s="12">
        <v>4.93</v>
      </c>
      <c r="H522" s="12">
        <v>103.73</v>
      </c>
      <c r="I522" s="12">
        <v>29.49</v>
      </c>
      <c r="J522" s="12">
        <v>274.81</v>
      </c>
      <c r="K522" s="12">
        <v>47.7</v>
      </c>
      <c r="L522" s="15" t="s">
        <v>17</v>
      </c>
    </row>
    <row r="523" spans="1:12" x14ac:dyDescent="0.25">
      <c r="A523" s="16">
        <v>2022</v>
      </c>
      <c r="B523" s="17" t="s">
        <v>12</v>
      </c>
      <c r="C523" s="17" t="s">
        <v>31</v>
      </c>
      <c r="D523" s="17" t="s">
        <v>24</v>
      </c>
      <c r="E523" s="18">
        <v>34677</v>
      </c>
      <c r="F523" s="19">
        <v>15661456.58</v>
      </c>
      <c r="G523" s="17">
        <v>6.11</v>
      </c>
      <c r="H523" s="17">
        <v>101.07</v>
      </c>
      <c r="I523" s="17">
        <v>48.06</v>
      </c>
      <c r="J523" s="17">
        <v>165.76</v>
      </c>
      <c r="K523" s="17">
        <v>55.31</v>
      </c>
      <c r="L523" s="20" t="s">
        <v>17</v>
      </c>
    </row>
    <row r="524" spans="1:12" x14ac:dyDescent="0.25">
      <c r="A524" s="11">
        <v>2022</v>
      </c>
      <c r="B524" s="12" t="s">
        <v>12</v>
      </c>
      <c r="C524" s="12" t="s">
        <v>32</v>
      </c>
      <c r="D524" s="12" t="s">
        <v>24</v>
      </c>
      <c r="E524" s="13">
        <v>27735</v>
      </c>
      <c r="F524" s="14">
        <v>60038350.75</v>
      </c>
      <c r="G524" s="12">
        <v>6.4</v>
      </c>
      <c r="H524" s="12">
        <v>42.86</v>
      </c>
      <c r="I524" s="12">
        <v>50.44</v>
      </c>
      <c r="J524" s="12">
        <v>118.36</v>
      </c>
      <c r="K524" s="12">
        <v>80.72</v>
      </c>
      <c r="L524" s="15" t="s">
        <v>21</v>
      </c>
    </row>
    <row r="525" spans="1:12" x14ac:dyDescent="0.25">
      <c r="A525" s="16">
        <v>2022</v>
      </c>
      <c r="B525" s="17" t="s">
        <v>12</v>
      </c>
      <c r="C525" s="17" t="s">
        <v>33</v>
      </c>
      <c r="D525" s="17" t="s">
        <v>24</v>
      </c>
      <c r="E525" s="18">
        <v>51810</v>
      </c>
      <c r="F525" s="19">
        <v>14517045.839999899</v>
      </c>
      <c r="G525" s="17">
        <v>5.73</v>
      </c>
      <c r="H525" s="17">
        <v>51.7</v>
      </c>
      <c r="I525" s="17">
        <v>7.3599999999999897</v>
      </c>
      <c r="J525" s="17">
        <v>174.15</v>
      </c>
      <c r="K525" s="17">
        <v>73.56</v>
      </c>
      <c r="L525" s="20" t="s">
        <v>15</v>
      </c>
    </row>
    <row r="526" spans="1:12" x14ac:dyDescent="0.25">
      <c r="A526" s="11">
        <v>2022</v>
      </c>
      <c r="B526" s="12" t="s">
        <v>12</v>
      </c>
      <c r="C526" s="12" t="s">
        <v>34</v>
      </c>
      <c r="D526" s="12" t="s">
        <v>24</v>
      </c>
      <c r="E526" s="13">
        <v>46166</v>
      </c>
      <c r="F526" s="14">
        <v>19455487.420000002</v>
      </c>
      <c r="G526" s="12">
        <v>4.54</v>
      </c>
      <c r="H526" s="12">
        <v>59.94</v>
      </c>
      <c r="I526" s="12">
        <v>13.25</v>
      </c>
      <c r="J526" s="12">
        <v>195.16</v>
      </c>
      <c r="K526" s="12">
        <v>74.459999999999994</v>
      </c>
      <c r="L526" s="15" t="s">
        <v>17</v>
      </c>
    </row>
    <row r="527" spans="1:12" x14ac:dyDescent="0.25">
      <c r="A527" s="16">
        <v>2022</v>
      </c>
      <c r="B527" s="17" t="s">
        <v>35</v>
      </c>
      <c r="C527" s="17" t="s">
        <v>13</v>
      </c>
      <c r="D527" s="17" t="s">
        <v>14</v>
      </c>
      <c r="E527" s="18">
        <v>47075</v>
      </c>
      <c r="F527" s="19">
        <v>9011313.3599999994</v>
      </c>
      <c r="G527" s="17">
        <v>3.15</v>
      </c>
      <c r="H527" s="17">
        <v>87.8</v>
      </c>
      <c r="I527" s="17">
        <v>23.96</v>
      </c>
      <c r="J527" s="17">
        <v>79.959999999999994</v>
      </c>
      <c r="K527" s="17">
        <v>66.239999999999995</v>
      </c>
      <c r="L527" s="20" t="s">
        <v>17</v>
      </c>
    </row>
    <row r="528" spans="1:12" x14ac:dyDescent="0.25">
      <c r="A528" s="11">
        <v>2022</v>
      </c>
      <c r="B528" s="12" t="s">
        <v>35</v>
      </c>
      <c r="C528" s="12" t="s">
        <v>16</v>
      </c>
      <c r="D528" s="12" t="s">
        <v>14</v>
      </c>
      <c r="E528" s="13">
        <v>5465</v>
      </c>
      <c r="F528" s="14">
        <v>14185149.880000001</v>
      </c>
      <c r="G528" s="12">
        <v>1.97</v>
      </c>
      <c r="H528" s="12">
        <v>73.540000000000006</v>
      </c>
      <c r="I528" s="12">
        <v>45.99</v>
      </c>
      <c r="J528" s="12">
        <v>292.18</v>
      </c>
      <c r="K528" s="12">
        <v>37.14</v>
      </c>
      <c r="L528" s="15" t="s">
        <v>21</v>
      </c>
    </row>
    <row r="529" spans="1:12" x14ac:dyDescent="0.25">
      <c r="A529" s="16">
        <v>2022</v>
      </c>
      <c r="B529" s="17" t="s">
        <v>35</v>
      </c>
      <c r="C529" s="17" t="s">
        <v>18</v>
      </c>
      <c r="D529" s="17" t="s">
        <v>14</v>
      </c>
      <c r="E529" s="18">
        <v>22036</v>
      </c>
      <c r="F529" s="19">
        <v>14156370.640000001</v>
      </c>
      <c r="G529" s="17">
        <v>2.12</v>
      </c>
      <c r="H529" s="17">
        <v>60.31</v>
      </c>
      <c r="I529" s="17">
        <v>-0.89</v>
      </c>
      <c r="J529" s="17">
        <v>298.7</v>
      </c>
      <c r="K529" s="17">
        <v>43.46</v>
      </c>
      <c r="L529" s="20" t="s">
        <v>15</v>
      </c>
    </row>
    <row r="530" spans="1:12" x14ac:dyDescent="0.25">
      <c r="A530" s="11">
        <v>2022</v>
      </c>
      <c r="B530" s="12" t="s">
        <v>35</v>
      </c>
      <c r="C530" s="12" t="s">
        <v>20</v>
      </c>
      <c r="D530" s="12" t="s">
        <v>14</v>
      </c>
      <c r="E530" s="13">
        <v>31388</v>
      </c>
      <c r="F530" s="14">
        <v>15148576.49</v>
      </c>
      <c r="G530" s="12">
        <v>3.44</v>
      </c>
      <c r="H530" s="12">
        <v>67</v>
      </c>
      <c r="I530" s="12">
        <v>45.8</v>
      </c>
      <c r="J530" s="12">
        <v>92.32</v>
      </c>
      <c r="K530" s="12">
        <v>39.57</v>
      </c>
      <c r="L530" s="15" t="s">
        <v>27</v>
      </c>
    </row>
    <row r="531" spans="1:12" x14ac:dyDescent="0.25">
      <c r="A531" s="16">
        <v>2022</v>
      </c>
      <c r="B531" s="17" t="s">
        <v>35</v>
      </c>
      <c r="C531" s="17" t="s">
        <v>22</v>
      </c>
      <c r="D531" s="17" t="s">
        <v>14</v>
      </c>
      <c r="E531" s="18">
        <v>33806</v>
      </c>
      <c r="F531" s="19">
        <v>23699378.708999999</v>
      </c>
      <c r="G531" s="17">
        <v>-0.23</v>
      </c>
      <c r="H531" s="17">
        <v>77.31</v>
      </c>
      <c r="I531" s="17">
        <v>47.51</v>
      </c>
      <c r="J531" s="17">
        <v>129.69999999999999</v>
      </c>
      <c r="K531" s="17">
        <v>78.41</v>
      </c>
      <c r="L531" s="20" t="s">
        <v>21</v>
      </c>
    </row>
    <row r="532" spans="1:12" x14ac:dyDescent="0.25">
      <c r="A532" s="11">
        <v>2022</v>
      </c>
      <c r="B532" s="12" t="s">
        <v>35</v>
      </c>
      <c r="C532" s="12" t="s">
        <v>23</v>
      </c>
      <c r="D532" s="12" t="s">
        <v>24</v>
      </c>
      <c r="E532" s="13">
        <v>46798</v>
      </c>
      <c r="F532" s="14">
        <v>34010964.590000004</v>
      </c>
      <c r="G532" s="12">
        <v>2.84</v>
      </c>
      <c r="H532" s="12">
        <v>95.15</v>
      </c>
      <c r="I532" s="12">
        <v>47.23</v>
      </c>
      <c r="J532" s="12">
        <v>287.88</v>
      </c>
      <c r="K532" s="12">
        <v>87.65</v>
      </c>
      <c r="L532" s="15" t="s">
        <v>19</v>
      </c>
    </row>
    <row r="533" spans="1:12" x14ac:dyDescent="0.25">
      <c r="A533" s="16">
        <v>2022</v>
      </c>
      <c r="B533" s="17" t="s">
        <v>35</v>
      </c>
      <c r="C533" s="17" t="s">
        <v>25</v>
      </c>
      <c r="D533" s="17" t="s">
        <v>24</v>
      </c>
      <c r="E533" s="18">
        <v>15007</v>
      </c>
      <c r="F533" s="19">
        <v>56176071.659999996</v>
      </c>
      <c r="G533" s="17">
        <v>6.81</v>
      </c>
      <c r="H533" s="17">
        <v>83.96</v>
      </c>
      <c r="I533" s="17">
        <v>44.71</v>
      </c>
      <c r="J533" s="17">
        <v>258.98</v>
      </c>
      <c r="K533" s="17">
        <v>59.6</v>
      </c>
      <c r="L533" s="20" t="s">
        <v>17</v>
      </c>
    </row>
    <row r="534" spans="1:12" x14ac:dyDescent="0.25">
      <c r="A534" s="11">
        <v>2022</v>
      </c>
      <c r="B534" s="12" t="s">
        <v>35</v>
      </c>
      <c r="C534" s="12" t="s">
        <v>26</v>
      </c>
      <c r="D534" s="12" t="s">
        <v>24</v>
      </c>
      <c r="E534" s="13">
        <v>10585</v>
      </c>
      <c r="F534" s="14">
        <v>29685804.23</v>
      </c>
      <c r="G534" s="12">
        <v>3.51</v>
      </c>
      <c r="H534" s="12">
        <v>93.42</v>
      </c>
      <c r="I534" s="12">
        <v>38.630000000000003</v>
      </c>
      <c r="J534" s="12">
        <v>171.64</v>
      </c>
      <c r="K534" s="12">
        <v>87.93</v>
      </c>
      <c r="L534" s="15" t="s">
        <v>27</v>
      </c>
    </row>
    <row r="535" spans="1:12" x14ac:dyDescent="0.25">
      <c r="A535" s="16">
        <v>2022</v>
      </c>
      <c r="B535" s="17" t="s">
        <v>35</v>
      </c>
      <c r="C535" s="17" t="s">
        <v>28</v>
      </c>
      <c r="D535" s="17" t="s">
        <v>24</v>
      </c>
      <c r="E535" s="18">
        <v>10415</v>
      </c>
      <c r="F535" s="19">
        <v>16056993.77</v>
      </c>
      <c r="G535" s="17">
        <v>2.85</v>
      </c>
      <c r="H535" s="17">
        <v>87.84</v>
      </c>
      <c r="I535" s="17">
        <v>42.48</v>
      </c>
      <c r="J535" s="17">
        <v>160.24</v>
      </c>
      <c r="K535" s="17">
        <v>51.79</v>
      </c>
      <c r="L535" s="20" t="s">
        <v>15</v>
      </c>
    </row>
    <row r="536" spans="1:12" x14ac:dyDescent="0.25">
      <c r="A536" s="11">
        <v>2022</v>
      </c>
      <c r="B536" s="12" t="s">
        <v>35</v>
      </c>
      <c r="C536" s="12" t="s">
        <v>29</v>
      </c>
      <c r="D536" s="12" t="s">
        <v>24</v>
      </c>
      <c r="E536" s="13">
        <v>54159</v>
      </c>
      <c r="F536" s="14">
        <v>43416974.450000003</v>
      </c>
      <c r="G536" s="12">
        <v>5.91</v>
      </c>
      <c r="H536" s="12">
        <v>101.8</v>
      </c>
      <c r="I536" s="12">
        <v>45.27</v>
      </c>
      <c r="J536" s="12">
        <v>232.71</v>
      </c>
      <c r="K536" s="12">
        <v>51.01</v>
      </c>
      <c r="L536" s="15" t="s">
        <v>17</v>
      </c>
    </row>
    <row r="537" spans="1:12" x14ac:dyDescent="0.25">
      <c r="A537" s="16">
        <v>2022</v>
      </c>
      <c r="B537" s="17" t="s">
        <v>35</v>
      </c>
      <c r="C537" s="17" t="s">
        <v>30</v>
      </c>
      <c r="D537" s="17" t="s">
        <v>24</v>
      </c>
      <c r="E537" s="18">
        <v>17217</v>
      </c>
      <c r="F537" s="19">
        <v>31929959.75</v>
      </c>
      <c r="G537" s="17">
        <v>3.68</v>
      </c>
      <c r="H537" s="17">
        <v>41.36</v>
      </c>
      <c r="I537" s="17">
        <v>32</v>
      </c>
      <c r="J537" s="17">
        <v>291.72000000000003</v>
      </c>
      <c r="K537" s="17">
        <v>45.78</v>
      </c>
      <c r="L537" s="20" t="s">
        <v>19</v>
      </c>
    </row>
    <row r="538" spans="1:12" x14ac:dyDescent="0.25">
      <c r="A538" s="11">
        <v>2022</v>
      </c>
      <c r="B538" s="12" t="s">
        <v>35</v>
      </c>
      <c r="C538" s="12" t="s">
        <v>31</v>
      </c>
      <c r="D538" s="12" t="s">
        <v>24</v>
      </c>
      <c r="E538" s="13">
        <v>53719</v>
      </c>
      <c r="F538" s="14">
        <v>15328592.42</v>
      </c>
      <c r="G538" s="12">
        <v>3.88</v>
      </c>
      <c r="H538" s="12">
        <v>79.25</v>
      </c>
      <c r="I538" s="12">
        <v>36.07</v>
      </c>
      <c r="J538" s="12">
        <v>286.49</v>
      </c>
      <c r="K538" s="12">
        <v>48.06</v>
      </c>
      <c r="L538" s="15" t="s">
        <v>21</v>
      </c>
    </row>
    <row r="539" spans="1:12" x14ac:dyDescent="0.25">
      <c r="A539" s="16">
        <v>2022</v>
      </c>
      <c r="B539" s="17" t="s">
        <v>35</v>
      </c>
      <c r="C539" s="17" t="s">
        <v>32</v>
      </c>
      <c r="D539" s="17" t="s">
        <v>24</v>
      </c>
      <c r="E539" s="18">
        <v>58156</v>
      </c>
      <c r="F539" s="19">
        <v>45419753.700000003</v>
      </c>
      <c r="G539" s="17">
        <v>4.2799999999999896</v>
      </c>
      <c r="H539" s="17">
        <v>88.11</v>
      </c>
      <c r="I539" s="17">
        <v>44.95</v>
      </c>
      <c r="J539" s="17">
        <v>232.59</v>
      </c>
      <c r="K539" s="17">
        <v>86.74</v>
      </c>
      <c r="L539" s="20" t="s">
        <v>19</v>
      </c>
    </row>
    <row r="540" spans="1:12" x14ac:dyDescent="0.25">
      <c r="A540" s="11">
        <v>2022</v>
      </c>
      <c r="B540" s="12" t="s">
        <v>35</v>
      </c>
      <c r="C540" s="12" t="s">
        <v>33</v>
      </c>
      <c r="D540" s="12" t="s">
        <v>24</v>
      </c>
      <c r="E540" s="13">
        <v>33117</v>
      </c>
      <c r="F540" s="14">
        <v>5432435.60399999</v>
      </c>
      <c r="G540" s="12">
        <v>6.58</v>
      </c>
      <c r="H540" s="12">
        <v>83.47</v>
      </c>
      <c r="I540" s="12">
        <v>38.520000000000003</v>
      </c>
      <c r="J540" s="12">
        <v>282.72000000000003</v>
      </c>
      <c r="K540" s="12">
        <v>86.09</v>
      </c>
      <c r="L540" s="15" t="s">
        <v>15</v>
      </c>
    </row>
    <row r="541" spans="1:12" x14ac:dyDescent="0.25">
      <c r="A541" s="16">
        <v>2022</v>
      </c>
      <c r="B541" s="17" t="s">
        <v>35</v>
      </c>
      <c r="C541" s="17" t="s">
        <v>34</v>
      </c>
      <c r="D541" s="17" t="s">
        <v>24</v>
      </c>
      <c r="E541" s="18">
        <v>24948</v>
      </c>
      <c r="F541" s="19">
        <v>7564107.5760000004</v>
      </c>
      <c r="G541" s="17">
        <v>3.51</v>
      </c>
      <c r="H541" s="17">
        <v>89.68</v>
      </c>
      <c r="I541" s="17">
        <v>53.4</v>
      </c>
      <c r="J541" s="17">
        <v>284.12</v>
      </c>
      <c r="K541" s="17">
        <v>72.56</v>
      </c>
      <c r="L541" s="20" t="s">
        <v>17</v>
      </c>
    </row>
    <row r="542" spans="1:12" x14ac:dyDescent="0.25">
      <c r="A542" s="11">
        <v>2022</v>
      </c>
      <c r="B542" s="12" t="s">
        <v>36</v>
      </c>
      <c r="C542" s="12" t="s">
        <v>13</v>
      </c>
      <c r="D542" s="12" t="s">
        <v>14</v>
      </c>
      <c r="E542" s="13">
        <v>10671</v>
      </c>
      <c r="F542" s="14">
        <v>9842035.3650000002</v>
      </c>
      <c r="G542" s="12">
        <v>0.25</v>
      </c>
      <c r="H542" s="12">
        <v>50.83</v>
      </c>
      <c r="I542" s="12">
        <v>26.94</v>
      </c>
      <c r="J542" s="12">
        <v>249.36</v>
      </c>
      <c r="K542" s="12">
        <v>77.13</v>
      </c>
      <c r="L542" s="15" t="s">
        <v>15</v>
      </c>
    </row>
    <row r="543" spans="1:12" x14ac:dyDescent="0.25">
      <c r="A543" s="16">
        <v>2022</v>
      </c>
      <c r="B543" s="17" t="s">
        <v>36</v>
      </c>
      <c r="C543" s="17" t="s">
        <v>16</v>
      </c>
      <c r="D543" s="17" t="s">
        <v>14</v>
      </c>
      <c r="E543" s="18">
        <v>27006</v>
      </c>
      <c r="F543" s="19">
        <v>5136019.5420000004</v>
      </c>
      <c r="G543" s="17">
        <v>0.36</v>
      </c>
      <c r="H543" s="17">
        <v>70.180000000000007</v>
      </c>
      <c r="I543" s="17">
        <v>-0.05</v>
      </c>
      <c r="J543" s="17">
        <v>179.88</v>
      </c>
      <c r="K543" s="17">
        <v>63.62</v>
      </c>
      <c r="L543" s="20" t="s">
        <v>19</v>
      </c>
    </row>
    <row r="544" spans="1:12" x14ac:dyDescent="0.25">
      <c r="A544" s="11">
        <v>2022</v>
      </c>
      <c r="B544" s="12" t="s">
        <v>36</v>
      </c>
      <c r="C544" s="12" t="s">
        <v>18</v>
      </c>
      <c r="D544" s="12" t="s">
        <v>14</v>
      </c>
      <c r="E544" s="13">
        <v>35658</v>
      </c>
      <c r="F544" s="14">
        <v>14607494.42</v>
      </c>
      <c r="G544" s="12">
        <v>1.18</v>
      </c>
      <c r="H544" s="12">
        <v>33.54</v>
      </c>
      <c r="I544" s="12">
        <v>9.9600000000000009</v>
      </c>
      <c r="J544" s="12">
        <v>232.38</v>
      </c>
      <c r="K544" s="12">
        <v>66.959999999999994</v>
      </c>
      <c r="L544" s="15" t="s">
        <v>15</v>
      </c>
    </row>
    <row r="545" spans="1:12" x14ac:dyDescent="0.25">
      <c r="A545" s="16">
        <v>2022</v>
      </c>
      <c r="B545" s="17" t="s">
        <v>36</v>
      </c>
      <c r="C545" s="17" t="s">
        <v>20</v>
      </c>
      <c r="D545" s="17" t="s">
        <v>14</v>
      </c>
      <c r="E545" s="18">
        <v>8330</v>
      </c>
      <c r="F545" s="19">
        <v>26191927.649999999</v>
      </c>
      <c r="G545" s="17">
        <v>4</v>
      </c>
      <c r="H545" s="17">
        <v>73.87</v>
      </c>
      <c r="I545" s="17">
        <v>24.35</v>
      </c>
      <c r="J545" s="17">
        <v>169.49</v>
      </c>
      <c r="K545" s="17">
        <v>53.29</v>
      </c>
      <c r="L545" s="20" t="s">
        <v>21</v>
      </c>
    </row>
    <row r="546" spans="1:12" x14ac:dyDescent="0.25">
      <c r="A546" s="11">
        <v>2022</v>
      </c>
      <c r="B546" s="12" t="s">
        <v>36</v>
      </c>
      <c r="C546" s="12" t="s">
        <v>22</v>
      </c>
      <c r="D546" s="12" t="s">
        <v>14</v>
      </c>
      <c r="E546" s="13">
        <v>32243</v>
      </c>
      <c r="F546" s="14">
        <v>28519800.440000001</v>
      </c>
      <c r="G546" s="12">
        <v>0.12999999999999901</v>
      </c>
      <c r="H546" s="12">
        <v>27.27</v>
      </c>
      <c r="I546" s="12">
        <v>22.56</v>
      </c>
      <c r="J546" s="12">
        <v>82.24</v>
      </c>
      <c r="K546" s="12">
        <v>53.9</v>
      </c>
      <c r="L546" s="15" t="s">
        <v>21</v>
      </c>
    </row>
    <row r="547" spans="1:12" x14ac:dyDescent="0.25">
      <c r="A547" s="16">
        <v>2022</v>
      </c>
      <c r="B547" s="17" t="s">
        <v>36</v>
      </c>
      <c r="C547" s="17" t="s">
        <v>23</v>
      </c>
      <c r="D547" s="17" t="s">
        <v>24</v>
      </c>
      <c r="E547" s="18">
        <v>49871</v>
      </c>
      <c r="F547" s="19">
        <v>8902985.2439999897</v>
      </c>
      <c r="G547" s="17">
        <v>6.82</v>
      </c>
      <c r="H547" s="17">
        <v>48.95</v>
      </c>
      <c r="I547" s="17">
        <v>18.68</v>
      </c>
      <c r="J547" s="17">
        <v>240.7</v>
      </c>
      <c r="K547" s="17">
        <v>53.91</v>
      </c>
      <c r="L547" s="20" t="s">
        <v>21</v>
      </c>
    </row>
    <row r="548" spans="1:12" x14ac:dyDescent="0.25">
      <c r="A548" s="11">
        <v>2022</v>
      </c>
      <c r="B548" s="12" t="s">
        <v>36</v>
      </c>
      <c r="C548" s="12" t="s">
        <v>25</v>
      </c>
      <c r="D548" s="12" t="s">
        <v>24</v>
      </c>
      <c r="E548" s="13">
        <v>39287</v>
      </c>
      <c r="F548" s="14">
        <v>21438284.870000001</v>
      </c>
      <c r="G548" s="12">
        <v>4.97</v>
      </c>
      <c r="H548" s="12">
        <v>70.25</v>
      </c>
      <c r="I548" s="12">
        <v>52.39</v>
      </c>
      <c r="J548" s="12">
        <v>215.78</v>
      </c>
      <c r="K548" s="12">
        <v>74.819999999999993</v>
      </c>
      <c r="L548" s="15" t="s">
        <v>21</v>
      </c>
    </row>
    <row r="549" spans="1:12" x14ac:dyDescent="0.25">
      <c r="A549" s="16">
        <v>2022</v>
      </c>
      <c r="B549" s="17" t="s">
        <v>36</v>
      </c>
      <c r="C549" s="17" t="s">
        <v>26</v>
      </c>
      <c r="D549" s="17" t="s">
        <v>24</v>
      </c>
      <c r="E549" s="18">
        <v>43668</v>
      </c>
      <c r="F549" s="19">
        <v>32615703.949999999</v>
      </c>
      <c r="G549" s="17">
        <v>3.64</v>
      </c>
      <c r="H549" s="17">
        <v>41.86</v>
      </c>
      <c r="I549" s="17">
        <v>25.87</v>
      </c>
      <c r="J549" s="17">
        <v>164.53</v>
      </c>
      <c r="K549" s="17">
        <v>62.1</v>
      </c>
      <c r="L549" s="20" t="s">
        <v>19</v>
      </c>
    </row>
    <row r="550" spans="1:12" x14ac:dyDescent="0.25">
      <c r="A550" s="11">
        <v>2022</v>
      </c>
      <c r="B550" s="12" t="s">
        <v>36</v>
      </c>
      <c r="C550" s="12" t="s">
        <v>28</v>
      </c>
      <c r="D550" s="12" t="s">
        <v>24</v>
      </c>
      <c r="E550" s="13">
        <v>64883</v>
      </c>
      <c r="F550" s="14">
        <v>70601769.767999902</v>
      </c>
      <c r="G550" s="12">
        <v>4.5999999999999996</v>
      </c>
      <c r="H550" s="12">
        <v>61.16</v>
      </c>
      <c r="I550" s="12">
        <v>31.32</v>
      </c>
      <c r="J550" s="12">
        <v>154.51</v>
      </c>
      <c r="K550" s="12">
        <v>92.8</v>
      </c>
      <c r="L550" s="15" t="s">
        <v>17</v>
      </c>
    </row>
    <row r="551" spans="1:12" x14ac:dyDescent="0.25">
      <c r="A551" s="16">
        <v>2022</v>
      </c>
      <c r="B551" s="17" t="s">
        <v>36</v>
      </c>
      <c r="C551" s="17" t="s">
        <v>29</v>
      </c>
      <c r="D551" s="17" t="s">
        <v>24</v>
      </c>
      <c r="E551" s="18">
        <v>29698</v>
      </c>
      <c r="F551" s="19">
        <v>9547956.3839999996</v>
      </c>
      <c r="G551" s="17">
        <v>3.14</v>
      </c>
      <c r="H551" s="17">
        <v>93.12</v>
      </c>
      <c r="I551" s="17">
        <v>34.76</v>
      </c>
      <c r="J551" s="17">
        <v>246.75</v>
      </c>
      <c r="K551" s="17">
        <v>65.459999999999994</v>
      </c>
      <c r="L551" s="20" t="s">
        <v>19</v>
      </c>
    </row>
    <row r="552" spans="1:12" x14ac:dyDescent="0.25">
      <c r="A552" s="11">
        <v>2022</v>
      </c>
      <c r="B552" s="12" t="s">
        <v>36</v>
      </c>
      <c r="C552" s="12" t="s">
        <v>30</v>
      </c>
      <c r="D552" s="12" t="s">
        <v>24</v>
      </c>
      <c r="E552" s="13">
        <v>16005</v>
      </c>
      <c r="F552" s="14">
        <v>41833223.630000003</v>
      </c>
      <c r="G552" s="12">
        <v>6.71</v>
      </c>
      <c r="H552" s="12">
        <v>88.73</v>
      </c>
      <c r="I552" s="12">
        <v>39.93</v>
      </c>
      <c r="J552" s="12">
        <v>281.7</v>
      </c>
      <c r="K552" s="12">
        <v>86.82</v>
      </c>
      <c r="L552" s="15" t="s">
        <v>19</v>
      </c>
    </row>
    <row r="553" spans="1:12" x14ac:dyDescent="0.25">
      <c r="A553" s="16">
        <v>2022</v>
      </c>
      <c r="B553" s="17" t="s">
        <v>36</v>
      </c>
      <c r="C553" s="17" t="s">
        <v>31</v>
      </c>
      <c r="D553" s="17" t="s">
        <v>24</v>
      </c>
      <c r="E553" s="18">
        <v>55071</v>
      </c>
      <c r="F553" s="19">
        <v>52340365.75</v>
      </c>
      <c r="G553" s="17">
        <v>3.6</v>
      </c>
      <c r="H553" s="17">
        <v>55.45</v>
      </c>
      <c r="I553" s="17">
        <v>51.49</v>
      </c>
      <c r="J553" s="17">
        <v>279.27</v>
      </c>
      <c r="K553" s="17">
        <v>73.87</v>
      </c>
      <c r="L553" s="20" t="s">
        <v>27</v>
      </c>
    </row>
    <row r="554" spans="1:12" x14ac:dyDescent="0.25">
      <c r="A554" s="11">
        <v>2022</v>
      </c>
      <c r="B554" s="12" t="s">
        <v>36</v>
      </c>
      <c r="C554" s="12" t="s">
        <v>32</v>
      </c>
      <c r="D554" s="12" t="s">
        <v>24</v>
      </c>
      <c r="E554" s="13">
        <v>55853</v>
      </c>
      <c r="F554" s="14">
        <v>6813706.7280000001</v>
      </c>
      <c r="G554" s="12">
        <v>4.88</v>
      </c>
      <c r="H554" s="12">
        <v>62.85</v>
      </c>
      <c r="I554" s="12">
        <v>33.76</v>
      </c>
      <c r="J554" s="12">
        <v>63.15</v>
      </c>
      <c r="K554" s="12">
        <v>69.849999999999994</v>
      </c>
      <c r="L554" s="15" t="s">
        <v>21</v>
      </c>
    </row>
    <row r="555" spans="1:12" x14ac:dyDescent="0.25">
      <c r="A555" s="16">
        <v>2022</v>
      </c>
      <c r="B555" s="17" t="s">
        <v>36</v>
      </c>
      <c r="C555" s="17" t="s">
        <v>33</v>
      </c>
      <c r="D555" s="17" t="s">
        <v>24</v>
      </c>
      <c r="E555" s="18">
        <v>47291</v>
      </c>
      <c r="F555" s="19">
        <v>19328484.68</v>
      </c>
      <c r="G555" s="17">
        <v>6.51</v>
      </c>
      <c r="H555" s="17">
        <v>102.8</v>
      </c>
      <c r="I555" s="17">
        <v>36.28</v>
      </c>
      <c r="J555" s="17">
        <v>222.44</v>
      </c>
      <c r="K555" s="17">
        <v>74.489999999999995</v>
      </c>
      <c r="L555" s="20" t="s">
        <v>15</v>
      </c>
    </row>
    <row r="556" spans="1:12" x14ac:dyDescent="0.25">
      <c r="A556" s="11">
        <v>2022</v>
      </c>
      <c r="B556" s="12" t="s">
        <v>36</v>
      </c>
      <c r="C556" s="12" t="s">
        <v>34</v>
      </c>
      <c r="D556" s="12" t="s">
        <v>24</v>
      </c>
      <c r="E556" s="13">
        <v>30901</v>
      </c>
      <c r="F556" s="14">
        <v>11882936.57</v>
      </c>
      <c r="G556" s="12">
        <v>3.47</v>
      </c>
      <c r="H556" s="12">
        <v>95.55</v>
      </c>
      <c r="I556" s="12">
        <v>15.87</v>
      </c>
      <c r="J556" s="12">
        <v>182.47</v>
      </c>
      <c r="K556" s="12">
        <v>50.98</v>
      </c>
      <c r="L556" s="15" t="s">
        <v>15</v>
      </c>
    </row>
    <row r="557" spans="1:12" x14ac:dyDescent="0.25">
      <c r="A557" s="16">
        <v>2022</v>
      </c>
      <c r="B557" s="17" t="s">
        <v>37</v>
      </c>
      <c r="C557" s="17" t="s">
        <v>13</v>
      </c>
      <c r="D557" s="17" t="s">
        <v>14</v>
      </c>
      <c r="E557" s="18">
        <v>8330</v>
      </c>
      <c r="F557" s="19">
        <v>4252116.8880000003</v>
      </c>
      <c r="G557" s="17">
        <v>2.0099999999999998</v>
      </c>
      <c r="H557" s="17">
        <v>89.2</v>
      </c>
      <c r="I557" s="17">
        <v>17.57</v>
      </c>
      <c r="J557" s="17">
        <v>213.49</v>
      </c>
      <c r="K557" s="17">
        <v>61.069999999999901</v>
      </c>
      <c r="L557" s="20" t="s">
        <v>21</v>
      </c>
    </row>
    <row r="558" spans="1:12" x14ac:dyDescent="0.25">
      <c r="A558" s="11">
        <v>2022</v>
      </c>
      <c r="B558" s="12" t="s">
        <v>37</v>
      </c>
      <c r="C558" s="12" t="s">
        <v>16</v>
      </c>
      <c r="D558" s="12" t="s">
        <v>14</v>
      </c>
      <c r="E558" s="13">
        <v>16902</v>
      </c>
      <c r="F558" s="14">
        <v>45919818.68</v>
      </c>
      <c r="G558" s="12">
        <v>-0.25</v>
      </c>
      <c r="H558" s="12">
        <v>68.67</v>
      </c>
      <c r="I558" s="12">
        <v>2.5299999999999998</v>
      </c>
      <c r="J558" s="12">
        <v>66.34</v>
      </c>
      <c r="K558" s="12">
        <v>47.23</v>
      </c>
      <c r="L558" s="15" t="s">
        <v>15</v>
      </c>
    </row>
    <row r="559" spans="1:12" x14ac:dyDescent="0.25">
      <c r="A559" s="16">
        <v>2022</v>
      </c>
      <c r="B559" s="17" t="s">
        <v>37</v>
      </c>
      <c r="C559" s="17" t="s">
        <v>18</v>
      </c>
      <c r="D559" s="17" t="s">
        <v>14</v>
      </c>
      <c r="E559" s="18">
        <v>10352</v>
      </c>
      <c r="F559" s="19">
        <v>10351376.890000001</v>
      </c>
      <c r="G559" s="17">
        <v>3.16</v>
      </c>
      <c r="H559" s="17">
        <v>68.23</v>
      </c>
      <c r="I559" s="17">
        <v>24.33</v>
      </c>
      <c r="J559" s="17">
        <v>137.24</v>
      </c>
      <c r="K559" s="17">
        <v>49.71</v>
      </c>
      <c r="L559" s="20" t="s">
        <v>15</v>
      </c>
    </row>
    <row r="560" spans="1:12" x14ac:dyDescent="0.25">
      <c r="A560" s="11">
        <v>2022</v>
      </c>
      <c r="B560" s="12" t="s">
        <v>37</v>
      </c>
      <c r="C560" s="12" t="s">
        <v>20</v>
      </c>
      <c r="D560" s="12" t="s">
        <v>14</v>
      </c>
      <c r="E560" s="13">
        <v>20904</v>
      </c>
      <c r="F560" s="14">
        <v>41945284.640000001</v>
      </c>
      <c r="G560" s="12">
        <v>-0.06</v>
      </c>
      <c r="H560" s="12">
        <v>53.51</v>
      </c>
      <c r="I560" s="12">
        <v>35.450000000000003</v>
      </c>
      <c r="J560" s="12">
        <v>63.87</v>
      </c>
      <c r="K560" s="12">
        <v>78.05</v>
      </c>
      <c r="L560" s="15" t="s">
        <v>15</v>
      </c>
    </row>
    <row r="561" spans="1:12" x14ac:dyDescent="0.25">
      <c r="A561" s="16">
        <v>2022</v>
      </c>
      <c r="B561" s="17" t="s">
        <v>37</v>
      </c>
      <c r="C561" s="17" t="s">
        <v>22</v>
      </c>
      <c r="D561" s="17" t="s">
        <v>14</v>
      </c>
      <c r="E561" s="18">
        <v>32799</v>
      </c>
      <c r="F561" s="19">
        <v>30084811.850000001</v>
      </c>
      <c r="G561" s="17">
        <v>0.7</v>
      </c>
      <c r="H561" s="17">
        <v>89.07</v>
      </c>
      <c r="I561" s="17">
        <v>45.08</v>
      </c>
      <c r="J561" s="17">
        <v>253.23</v>
      </c>
      <c r="K561" s="17">
        <v>61.38</v>
      </c>
      <c r="L561" s="20" t="s">
        <v>27</v>
      </c>
    </row>
    <row r="562" spans="1:12" x14ac:dyDescent="0.25">
      <c r="A562" s="11">
        <v>2022</v>
      </c>
      <c r="B562" s="12" t="s">
        <v>37</v>
      </c>
      <c r="C562" s="12" t="s">
        <v>23</v>
      </c>
      <c r="D562" s="12" t="s">
        <v>24</v>
      </c>
      <c r="E562" s="13">
        <v>17884</v>
      </c>
      <c r="F562" s="14">
        <v>11319455.1</v>
      </c>
      <c r="G562" s="12">
        <v>4.18</v>
      </c>
      <c r="H562" s="12">
        <v>99.95</v>
      </c>
      <c r="I562" s="12">
        <v>7.17</v>
      </c>
      <c r="J562" s="12">
        <v>265.77999999999997</v>
      </c>
      <c r="K562" s="12">
        <v>86.45</v>
      </c>
      <c r="L562" s="15" t="s">
        <v>21</v>
      </c>
    </row>
    <row r="563" spans="1:12" x14ac:dyDescent="0.25">
      <c r="A563" s="16">
        <v>2022</v>
      </c>
      <c r="B563" s="17" t="s">
        <v>37</v>
      </c>
      <c r="C563" s="17" t="s">
        <v>25</v>
      </c>
      <c r="D563" s="17" t="s">
        <v>24</v>
      </c>
      <c r="E563" s="18">
        <v>40963</v>
      </c>
      <c r="F563" s="19">
        <v>10902531.08</v>
      </c>
      <c r="G563" s="17">
        <v>2.86</v>
      </c>
      <c r="H563" s="17">
        <v>42.87</v>
      </c>
      <c r="I563" s="17">
        <v>21.56</v>
      </c>
      <c r="J563" s="17">
        <v>281.31</v>
      </c>
      <c r="K563" s="17">
        <v>81.510000000000005</v>
      </c>
      <c r="L563" s="20" t="s">
        <v>19</v>
      </c>
    </row>
    <row r="564" spans="1:12" x14ac:dyDescent="0.25">
      <c r="A564" s="11">
        <v>2022</v>
      </c>
      <c r="B564" s="12" t="s">
        <v>37</v>
      </c>
      <c r="C564" s="12" t="s">
        <v>26</v>
      </c>
      <c r="D564" s="12" t="s">
        <v>24</v>
      </c>
      <c r="E564" s="13">
        <v>15691</v>
      </c>
      <c r="F564" s="14">
        <v>21823040.170000002</v>
      </c>
      <c r="G564" s="12">
        <v>3.07</v>
      </c>
      <c r="H564" s="12">
        <v>42.69</v>
      </c>
      <c r="I564" s="12">
        <v>42.69</v>
      </c>
      <c r="J564" s="12">
        <v>135.63</v>
      </c>
      <c r="K564" s="12">
        <v>72.27</v>
      </c>
      <c r="L564" s="15" t="s">
        <v>21</v>
      </c>
    </row>
    <row r="565" spans="1:12" x14ac:dyDescent="0.25">
      <c r="A565" s="16">
        <v>2022</v>
      </c>
      <c r="B565" s="17" t="s">
        <v>37</v>
      </c>
      <c r="C565" s="17" t="s">
        <v>28</v>
      </c>
      <c r="D565" s="17" t="s">
        <v>24</v>
      </c>
      <c r="E565" s="18">
        <v>23653</v>
      </c>
      <c r="F565" s="19">
        <v>24085328.149999999</v>
      </c>
      <c r="G565" s="17">
        <v>5.64</v>
      </c>
      <c r="H565" s="17">
        <v>87.55</v>
      </c>
      <c r="I565" s="17">
        <v>41.3</v>
      </c>
      <c r="J565" s="17">
        <v>170.64</v>
      </c>
      <c r="K565" s="17">
        <v>46.15</v>
      </c>
      <c r="L565" s="20" t="s">
        <v>27</v>
      </c>
    </row>
    <row r="566" spans="1:12" x14ac:dyDescent="0.25">
      <c r="A566" s="11">
        <v>2022</v>
      </c>
      <c r="B566" s="12" t="s">
        <v>37</v>
      </c>
      <c r="C566" s="12" t="s">
        <v>29</v>
      </c>
      <c r="D566" s="12" t="s">
        <v>24</v>
      </c>
      <c r="E566" s="13">
        <v>56264</v>
      </c>
      <c r="F566" s="14">
        <v>11515465.800000001</v>
      </c>
      <c r="G566" s="12">
        <v>3.42</v>
      </c>
      <c r="H566" s="12">
        <v>82.21</v>
      </c>
      <c r="I566" s="12">
        <v>39.950000000000003</v>
      </c>
      <c r="J566" s="12">
        <v>68.7</v>
      </c>
      <c r="K566" s="12">
        <v>94.84</v>
      </c>
      <c r="L566" s="15" t="s">
        <v>27</v>
      </c>
    </row>
    <row r="567" spans="1:12" x14ac:dyDescent="0.25">
      <c r="A567" s="16">
        <v>2022</v>
      </c>
      <c r="B567" s="17" t="s">
        <v>37</v>
      </c>
      <c r="C567" s="17" t="s">
        <v>30</v>
      </c>
      <c r="D567" s="17" t="s">
        <v>24</v>
      </c>
      <c r="E567" s="18">
        <v>47629</v>
      </c>
      <c r="F567" s="19">
        <v>40258147.689999998</v>
      </c>
      <c r="G567" s="17">
        <v>2.59</v>
      </c>
      <c r="H567" s="17">
        <v>62.4</v>
      </c>
      <c r="I567" s="17">
        <v>46.2</v>
      </c>
      <c r="J567" s="17">
        <v>174.55</v>
      </c>
      <c r="K567" s="17">
        <v>88.86</v>
      </c>
      <c r="L567" s="20" t="s">
        <v>17</v>
      </c>
    </row>
    <row r="568" spans="1:12" x14ac:dyDescent="0.25">
      <c r="A568" s="11">
        <v>2022</v>
      </c>
      <c r="B568" s="12" t="s">
        <v>37</v>
      </c>
      <c r="C568" s="12" t="s">
        <v>31</v>
      </c>
      <c r="D568" s="12" t="s">
        <v>24</v>
      </c>
      <c r="E568" s="13">
        <v>22829</v>
      </c>
      <c r="F568" s="14">
        <v>33124655.16</v>
      </c>
      <c r="G568" s="12">
        <v>6.4</v>
      </c>
      <c r="H568" s="12">
        <v>70.69</v>
      </c>
      <c r="I568" s="12">
        <v>26.25</v>
      </c>
      <c r="J568" s="12">
        <v>125.31</v>
      </c>
      <c r="K568" s="12">
        <v>93.2</v>
      </c>
      <c r="L568" s="15" t="s">
        <v>21</v>
      </c>
    </row>
    <row r="569" spans="1:12" x14ac:dyDescent="0.25">
      <c r="A569" s="16">
        <v>2022</v>
      </c>
      <c r="B569" s="17" t="s">
        <v>37</v>
      </c>
      <c r="C569" s="17" t="s">
        <v>32</v>
      </c>
      <c r="D569" s="17" t="s">
        <v>24</v>
      </c>
      <c r="E569" s="18">
        <v>33785</v>
      </c>
      <c r="F569" s="19">
        <v>47573854.619999997</v>
      </c>
      <c r="G569" s="17">
        <v>5.64</v>
      </c>
      <c r="H569" s="17">
        <v>92.95</v>
      </c>
      <c r="I569" s="17">
        <v>33.129999999999903</v>
      </c>
      <c r="J569" s="17">
        <v>109.94</v>
      </c>
      <c r="K569" s="17">
        <v>93.28</v>
      </c>
      <c r="L569" s="20" t="s">
        <v>17</v>
      </c>
    </row>
    <row r="570" spans="1:12" x14ac:dyDescent="0.25">
      <c r="A570" s="11">
        <v>2022</v>
      </c>
      <c r="B570" s="12" t="s">
        <v>37</v>
      </c>
      <c r="C570" s="12" t="s">
        <v>33</v>
      </c>
      <c r="D570" s="12" t="s">
        <v>24</v>
      </c>
      <c r="E570" s="13">
        <v>28676</v>
      </c>
      <c r="F570" s="14">
        <v>33319538.640000001</v>
      </c>
      <c r="G570" s="12">
        <v>5.17</v>
      </c>
      <c r="H570" s="12">
        <v>80.3</v>
      </c>
      <c r="I570" s="12">
        <v>30.76</v>
      </c>
      <c r="J570" s="12">
        <v>213.39</v>
      </c>
      <c r="K570" s="12">
        <v>76.2</v>
      </c>
      <c r="L570" s="15" t="s">
        <v>15</v>
      </c>
    </row>
    <row r="571" spans="1:12" x14ac:dyDescent="0.25">
      <c r="A571" s="16">
        <v>2022</v>
      </c>
      <c r="B571" s="17" t="s">
        <v>37</v>
      </c>
      <c r="C571" s="17" t="s">
        <v>34</v>
      </c>
      <c r="D571" s="17" t="s">
        <v>24</v>
      </c>
      <c r="E571" s="18">
        <v>62215</v>
      </c>
      <c r="F571" s="19">
        <v>44729535.659999996</v>
      </c>
      <c r="G571" s="17">
        <v>3.04</v>
      </c>
      <c r="H571" s="17">
        <v>93.8</v>
      </c>
      <c r="I571" s="17">
        <v>38.79</v>
      </c>
      <c r="J571" s="17">
        <v>253.73</v>
      </c>
      <c r="K571" s="17">
        <v>45.63</v>
      </c>
      <c r="L571" s="20" t="s">
        <v>17</v>
      </c>
    </row>
    <row r="572" spans="1:12" x14ac:dyDescent="0.25">
      <c r="A572" s="11">
        <v>2022</v>
      </c>
      <c r="B572" s="12" t="s">
        <v>12</v>
      </c>
      <c r="C572" s="12" t="s">
        <v>13</v>
      </c>
      <c r="D572" s="12" t="s">
        <v>14</v>
      </c>
      <c r="E572" s="13">
        <v>23678</v>
      </c>
      <c r="F572" s="14">
        <v>23302026.23</v>
      </c>
      <c r="G572" s="12">
        <v>0.57999999999999996</v>
      </c>
      <c r="H572" s="12">
        <v>45.61</v>
      </c>
      <c r="I572" s="12">
        <v>43.79</v>
      </c>
      <c r="J572" s="12">
        <v>156.56</v>
      </c>
      <c r="K572" s="12">
        <v>72.06</v>
      </c>
      <c r="L572" s="15" t="s">
        <v>27</v>
      </c>
    </row>
    <row r="573" spans="1:12" x14ac:dyDescent="0.25">
      <c r="A573" s="16">
        <v>2022</v>
      </c>
      <c r="B573" s="17" t="s">
        <v>12</v>
      </c>
      <c r="C573" s="17" t="s">
        <v>16</v>
      </c>
      <c r="D573" s="17" t="s">
        <v>14</v>
      </c>
      <c r="E573" s="18">
        <v>24682</v>
      </c>
      <c r="F573" s="19">
        <v>30388420.881000001</v>
      </c>
      <c r="G573" s="17">
        <v>3.89</v>
      </c>
      <c r="H573" s="17">
        <v>65.349999999999994</v>
      </c>
      <c r="I573" s="17">
        <v>41.22</v>
      </c>
      <c r="J573" s="17">
        <v>202.74</v>
      </c>
      <c r="K573" s="17">
        <v>65.05</v>
      </c>
      <c r="L573" s="20" t="s">
        <v>17</v>
      </c>
    </row>
    <row r="574" spans="1:12" x14ac:dyDescent="0.25">
      <c r="A574" s="11">
        <v>2022</v>
      </c>
      <c r="B574" s="12" t="s">
        <v>12</v>
      </c>
      <c r="C574" s="12" t="s">
        <v>18</v>
      </c>
      <c r="D574" s="12" t="s">
        <v>14</v>
      </c>
      <c r="E574" s="13">
        <v>49869</v>
      </c>
      <c r="F574" s="14">
        <v>25015561.710000001</v>
      </c>
      <c r="G574" s="12">
        <v>-0.1</v>
      </c>
      <c r="H574" s="12">
        <v>66.77</v>
      </c>
      <c r="I574" s="12">
        <v>25.65</v>
      </c>
      <c r="J574" s="12">
        <v>137.77000000000001</v>
      </c>
      <c r="K574" s="12">
        <v>75.23</v>
      </c>
      <c r="L574" s="15" t="s">
        <v>21</v>
      </c>
    </row>
    <row r="575" spans="1:12" x14ac:dyDescent="0.25">
      <c r="A575" s="16">
        <v>2022</v>
      </c>
      <c r="B575" s="17" t="s">
        <v>12</v>
      </c>
      <c r="C575" s="17" t="s">
        <v>20</v>
      </c>
      <c r="D575" s="17" t="s">
        <v>14</v>
      </c>
      <c r="E575" s="18">
        <v>5718</v>
      </c>
      <c r="F575" s="19">
        <v>47611430.590000004</v>
      </c>
      <c r="G575" s="17">
        <v>3.4</v>
      </c>
      <c r="H575" s="17">
        <v>60.4</v>
      </c>
      <c r="I575" s="17">
        <v>15.37</v>
      </c>
      <c r="J575" s="17">
        <v>128.61000000000001</v>
      </c>
      <c r="K575" s="17">
        <v>41.67</v>
      </c>
      <c r="L575" s="20" t="s">
        <v>21</v>
      </c>
    </row>
    <row r="576" spans="1:12" x14ac:dyDescent="0.25">
      <c r="A576" s="11">
        <v>2022</v>
      </c>
      <c r="B576" s="12" t="s">
        <v>12</v>
      </c>
      <c r="C576" s="12" t="s">
        <v>22</v>
      </c>
      <c r="D576" s="12" t="s">
        <v>14</v>
      </c>
      <c r="E576" s="13">
        <v>35233</v>
      </c>
      <c r="F576" s="14">
        <v>10414206.279999999</v>
      </c>
      <c r="G576" s="12">
        <v>2.0099999999999998</v>
      </c>
      <c r="H576" s="12">
        <v>84.7</v>
      </c>
      <c r="I576" s="12">
        <v>12.7</v>
      </c>
      <c r="J576" s="12">
        <v>92.35</v>
      </c>
      <c r="K576" s="12">
        <v>51.97</v>
      </c>
      <c r="L576" s="15" t="s">
        <v>21</v>
      </c>
    </row>
    <row r="577" spans="1:12" x14ac:dyDescent="0.25">
      <c r="A577" s="16">
        <v>2022</v>
      </c>
      <c r="B577" s="17" t="s">
        <v>12</v>
      </c>
      <c r="C577" s="17" t="s">
        <v>23</v>
      </c>
      <c r="D577" s="17" t="s">
        <v>24</v>
      </c>
      <c r="E577" s="18">
        <v>41857</v>
      </c>
      <c r="F577" s="19">
        <v>71129083.790000007</v>
      </c>
      <c r="G577" s="17">
        <v>4.8599999999999897</v>
      </c>
      <c r="H577" s="17">
        <v>73.91</v>
      </c>
      <c r="I577" s="17">
        <v>45.53</v>
      </c>
      <c r="J577" s="17">
        <v>173.38</v>
      </c>
      <c r="K577" s="17">
        <v>53.59</v>
      </c>
      <c r="L577" s="20" t="s">
        <v>27</v>
      </c>
    </row>
    <row r="578" spans="1:12" x14ac:dyDescent="0.25">
      <c r="A578" s="11">
        <v>2022</v>
      </c>
      <c r="B578" s="12" t="s">
        <v>12</v>
      </c>
      <c r="C578" s="12" t="s">
        <v>25</v>
      </c>
      <c r="D578" s="12" t="s">
        <v>24</v>
      </c>
      <c r="E578" s="13">
        <v>33814</v>
      </c>
      <c r="F578" s="14">
        <v>62983632.700000003</v>
      </c>
      <c r="G578" s="12">
        <v>4.5599999999999996</v>
      </c>
      <c r="H578" s="12">
        <v>57.41</v>
      </c>
      <c r="I578" s="12">
        <v>21.53</v>
      </c>
      <c r="J578" s="12">
        <v>170.67</v>
      </c>
      <c r="K578" s="12">
        <v>72.61</v>
      </c>
      <c r="L578" s="15" t="s">
        <v>27</v>
      </c>
    </row>
    <row r="579" spans="1:12" x14ac:dyDescent="0.25">
      <c r="A579" s="16">
        <v>2022</v>
      </c>
      <c r="B579" s="17" t="s">
        <v>12</v>
      </c>
      <c r="C579" s="17" t="s">
        <v>26</v>
      </c>
      <c r="D579" s="17" t="s">
        <v>24</v>
      </c>
      <c r="E579" s="18">
        <v>35418</v>
      </c>
      <c r="F579" s="19">
        <v>14482116.279999999</v>
      </c>
      <c r="G579" s="17">
        <v>4.01</v>
      </c>
      <c r="H579" s="17">
        <v>91.45</v>
      </c>
      <c r="I579" s="17">
        <v>6.56</v>
      </c>
      <c r="J579" s="17">
        <v>157.75</v>
      </c>
      <c r="K579" s="17">
        <v>57.04</v>
      </c>
      <c r="L579" s="20" t="s">
        <v>27</v>
      </c>
    </row>
    <row r="580" spans="1:12" x14ac:dyDescent="0.25">
      <c r="A580" s="11">
        <v>2022</v>
      </c>
      <c r="B580" s="12" t="s">
        <v>12</v>
      </c>
      <c r="C580" s="12" t="s">
        <v>28</v>
      </c>
      <c r="D580" s="12" t="s">
        <v>24</v>
      </c>
      <c r="E580" s="13">
        <v>39933</v>
      </c>
      <c r="F580" s="14">
        <v>18632947.100000001</v>
      </c>
      <c r="G580" s="12">
        <v>2.56</v>
      </c>
      <c r="H580" s="12">
        <v>91.48</v>
      </c>
      <c r="I580" s="12">
        <v>41.08</v>
      </c>
      <c r="J580" s="12">
        <v>272.72000000000003</v>
      </c>
      <c r="K580" s="12">
        <v>57.82</v>
      </c>
      <c r="L580" s="15" t="s">
        <v>27</v>
      </c>
    </row>
    <row r="581" spans="1:12" x14ac:dyDescent="0.25">
      <c r="A581" s="16">
        <v>2022</v>
      </c>
      <c r="B581" s="17" t="s">
        <v>12</v>
      </c>
      <c r="C581" s="17" t="s">
        <v>29</v>
      </c>
      <c r="D581" s="17" t="s">
        <v>24</v>
      </c>
      <c r="E581" s="18">
        <v>6800</v>
      </c>
      <c r="F581" s="19">
        <v>6213699.6119999997</v>
      </c>
      <c r="G581" s="17">
        <v>6.1</v>
      </c>
      <c r="H581" s="17">
        <v>52.04</v>
      </c>
      <c r="I581" s="17">
        <v>54.21</v>
      </c>
      <c r="J581" s="17">
        <v>81.93</v>
      </c>
      <c r="K581" s="17">
        <v>52.88</v>
      </c>
      <c r="L581" s="20" t="s">
        <v>19</v>
      </c>
    </row>
    <row r="582" spans="1:12" x14ac:dyDescent="0.25">
      <c r="A582" s="11">
        <v>2022</v>
      </c>
      <c r="B582" s="12" t="s">
        <v>12</v>
      </c>
      <c r="C582" s="12" t="s">
        <v>30</v>
      </c>
      <c r="D582" s="12" t="s">
        <v>24</v>
      </c>
      <c r="E582" s="13">
        <v>6787</v>
      </c>
      <c r="F582" s="14">
        <v>52571041.670000002</v>
      </c>
      <c r="G582" s="12">
        <v>4.93</v>
      </c>
      <c r="H582" s="12">
        <v>103.73</v>
      </c>
      <c r="I582" s="12">
        <v>29.49</v>
      </c>
      <c r="J582" s="12">
        <v>274.81</v>
      </c>
      <c r="K582" s="12">
        <v>47.7</v>
      </c>
      <c r="L582" s="15" t="s">
        <v>17</v>
      </c>
    </row>
    <row r="583" spans="1:12" x14ac:dyDescent="0.25">
      <c r="A583" s="16">
        <v>2022</v>
      </c>
      <c r="B583" s="17" t="s">
        <v>12</v>
      </c>
      <c r="C583" s="17" t="s">
        <v>31</v>
      </c>
      <c r="D583" s="17" t="s">
        <v>24</v>
      </c>
      <c r="E583" s="18">
        <v>34677</v>
      </c>
      <c r="F583" s="19">
        <v>15661456.58</v>
      </c>
      <c r="G583" s="17">
        <v>6.11</v>
      </c>
      <c r="H583" s="17">
        <v>101.07</v>
      </c>
      <c r="I583" s="17">
        <v>48.06</v>
      </c>
      <c r="J583" s="17">
        <v>165.76</v>
      </c>
      <c r="K583" s="17">
        <v>55.31</v>
      </c>
      <c r="L583" s="20" t="s">
        <v>17</v>
      </c>
    </row>
    <row r="584" spans="1:12" x14ac:dyDescent="0.25">
      <c r="A584" s="11">
        <v>2022</v>
      </c>
      <c r="B584" s="12" t="s">
        <v>12</v>
      </c>
      <c r="C584" s="12" t="s">
        <v>32</v>
      </c>
      <c r="D584" s="12" t="s">
        <v>24</v>
      </c>
      <c r="E584" s="13">
        <v>27735</v>
      </c>
      <c r="F584" s="14">
        <v>60038350.75</v>
      </c>
      <c r="G584" s="12">
        <v>6.4</v>
      </c>
      <c r="H584" s="12">
        <v>42.86</v>
      </c>
      <c r="I584" s="12">
        <v>50.44</v>
      </c>
      <c r="J584" s="12">
        <v>118.36</v>
      </c>
      <c r="K584" s="12">
        <v>80.72</v>
      </c>
      <c r="L584" s="15" t="s">
        <v>21</v>
      </c>
    </row>
    <row r="585" spans="1:12" x14ac:dyDescent="0.25">
      <c r="A585" s="16">
        <v>2022</v>
      </c>
      <c r="B585" s="17" t="s">
        <v>12</v>
      </c>
      <c r="C585" s="17" t="s">
        <v>33</v>
      </c>
      <c r="D585" s="17" t="s">
        <v>24</v>
      </c>
      <c r="E585" s="18">
        <v>51810</v>
      </c>
      <c r="F585" s="19">
        <v>14517045.839999899</v>
      </c>
      <c r="G585" s="17">
        <v>5.73</v>
      </c>
      <c r="H585" s="17">
        <v>51.7</v>
      </c>
      <c r="I585" s="17">
        <v>7.3599999999999897</v>
      </c>
      <c r="J585" s="17">
        <v>174.15</v>
      </c>
      <c r="K585" s="17">
        <v>73.56</v>
      </c>
      <c r="L585" s="20" t="s">
        <v>15</v>
      </c>
    </row>
    <row r="586" spans="1:12" x14ac:dyDescent="0.25">
      <c r="A586" s="11">
        <v>2022</v>
      </c>
      <c r="B586" s="12" t="s">
        <v>12</v>
      </c>
      <c r="C586" s="12" t="s">
        <v>34</v>
      </c>
      <c r="D586" s="12" t="s">
        <v>24</v>
      </c>
      <c r="E586" s="13">
        <v>46166</v>
      </c>
      <c r="F586" s="14">
        <v>19455487.420000002</v>
      </c>
      <c r="G586" s="12">
        <v>4.54</v>
      </c>
      <c r="H586" s="12">
        <v>59.94</v>
      </c>
      <c r="I586" s="12">
        <v>13.25</v>
      </c>
      <c r="J586" s="12">
        <v>195.16</v>
      </c>
      <c r="K586" s="12">
        <v>74.459999999999994</v>
      </c>
      <c r="L586" s="15" t="s">
        <v>17</v>
      </c>
    </row>
    <row r="587" spans="1:12" x14ac:dyDescent="0.25">
      <c r="A587" s="16">
        <v>2022</v>
      </c>
      <c r="B587" s="17" t="s">
        <v>35</v>
      </c>
      <c r="C587" s="17" t="s">
        <v>13</v>
      </c>
      <c r="D587" s="17" t="s">
        <v>14</v>
      </c>
      <c r="E587" s="18">
        <v>47075</v>
      </c>
      <c r="F587" s="19">
        <v>9011313.3599999994</v>
      </c>
      <c r="G587" s="17">
        <v>3.15</v>
      </c>
      <c r="H587" s="17">
        <v>87.8</v>
      </c>
      <c r="I587" s="17">
        <v>23.96</v>
      </c>
      <c r="J587" s="17">
        <v>79.959999999999994</v>
      </c>
      <c r="K587" s="17">
        <v>66.239999999999995</v>
      </c>
      <c r="L587" s="20" t="s">
        <v>17</v>
      </c>
    </row>
    <row r="588" spans="1:12" x14ac:dyDescent="0.25">
      <c r="A588" s="11">
        <v>2022</v>
      </c>
      <c r="B588" s="12" t="s">
        <v>35</v>
      </c>
      <c r="C588" s="12" t="s">
        <v>16</v>
      </c>
      <c r="D588" s="12" t="s">
        <v>14</v>
      </c>
      <c r="E588" s="13">
        <v>5465</v>
      </c>
      <c r="F588" s="14">
        <v>14185149.880000001</v>
      </c>
      <c r="G588" s="12">
        <v>1.97</v>
      </c>
      <c r="H588" s="12">
        <v>73.540000000000006</v>
      </c>
      <c r="I588" s="12">
        <v>45.99</v>
      </c>
      <c r="J588" s="12">
        <v>292.18</v>
      </c>
      <c r="K588" s="12">
        <v>37.14</v>
      </c>
      <c r="L588" s="15" t="s">
        <v>21</v>
      </c>
    </row>
    <row r="589" spans="1:12" x14ac:dyDescent="0.25">
      <c r="A589" s="16">
        <v>2022</v>
      </c>
      <c r="B589" s="17" t="s">
        <v>35</v>
      </c>
      <c r="C589" s="17" t="s">
        <v>18</v>
      </c>
      <c r="D589" s="17" t="s">
        <v>14</v>
      </c>
      <c r="E589" s="18">
        <v>22036</v>
      </c>
      <c r="F589" s="19">
        <v>14156370.640000001</v>
      </c>
      <c r="G589" s="17">
        <v>2.12</v>
      </c>
      <c r="H589" s="17">
        <v>60.31</v>
      </c>
      <c r="I589" s="17">
        <v>-0.89</v>
      </c>
      <c r="J589" s="17">
        <v>298.7</v>
      </c>
      <c r="K589" s="17">
        <v>43.46</v>
      </c>
      <c r="L589" s="20" t="s">
        <v>15</v>
      </c>
    </row>
    <row r="590" spans="1:12" x14ac:dyDescent="0.25">
      <c r="A590" s="11">
        <v>2022</v>
      </c>
      <c r="B590" s="12" t="s">
        <v>35</v>
      </c>
      <c r="C590" s="12" t="s">
        <v>20</v>
      </c>
      <c r="D590" s="12" t="s">
        <v>14</v>
      </c>
      <c r="E590" s="13">
        <v>31388</v>
      </c>
      <c r="F590" s="14">
        <v>15148576.49</v>
      </c>
      <c r="G590" s="12">
        <v>3.44</v>
      </c>
      <c r="H590" s="12">
        <v>67</v>
      </c>
      <c r="I590" s="12">
        <v>45.8</v>
      </c>
      <c r="J590" s="12">
        <v>92.32</v>
      </c>
      <c r="K590" s="12">
        <v>39.57</v>
      </c>
      <c r="L590" s="15" t="s">
        <v>27</v>
      </c>
    </row>
    <row r="591" spans="1:12" x14ac:dyDescent="0.25">
      <c r="A591" s="16">
        <v>2022</v>
      </c>
      <c r="B591" s="17" t="s">
        <v>35</v>
      </c>
      <c r="C591" s="17" t="s">
        <v>22</v>
      </c>
      <c r="D591" s="17" t="s">
        <v>14</v>
      </c>
      <c r="E591" s="18">
        <v>33806</v>
      </c>
      <c r="F591" s="19">
        <v>23699378.708999999</v>
      </c>
      <c r="G591" s="17">
        <v>-0.23</v>
      </c>
      <c r="H591" s="17">
        <v>77.31</v>
      </c>
      <c r="I591" s="17">
        <v>47.51</v>
      </c>
      <c r="J591" s="17">
        <v>129.69999999999999</v>
      </c>
      <c r="K591" s="17">
        <v>78.41</v>
      </c>
      <c r="L591" s="20" t="s">
        <v>21</v>
      </c>
    </row>
    <row r="592" spans="1:12" x14ac:dyDescent="0.25">
      <c r="A592" s="11">
        <v>2022</v>
      </c>
      <c r="B592" s="12" t="s">
        <v>35</v>
      </c>
      <c r="C592" s="12" t="s">
        <v>23</v>
      </c>
      <c r="D592" s="12" t="s">
        <v>24</v>
      </c>
      <c r="E592" s="13">
        <v>46798</v>
      </c>
      <c r="F592" s="14">
        <v>34010964.590000004</v>
      </c>
      <c r="G592" s="12">
        <v>2.84</v>
      </c>
      <c r="H592" s="12">
        <v>95.15</v>
      </c>
      <c r="I592" s="12">
        <v>47.23</v>
      </c>
      <c r="J592" s="12">
        <v>287.88</v>
      </c>
      <c r="K592" s="12">
        <v>87.65</v>
      </c>
      <c r="L592" s="15" t="s">
        <v>19</v>
      </c>
    </row>
    <row r="593" spans="1:12" x14ac:dyDescent="0.25">
      <c r="A593" s="16">
        <v>2022</v>
      </c>
      <c r="B593" s="17" t="s">
        <v>35</v>
      </c>
      <c r="C593" s="17" t="s">
        <v>25</v>
      </c>
      <c r="D593" s="17" t="s">
        <v>24</v>
      </c>
      <c r="E593" s="18">
        <v>15007</v>
      </c>
      <c r="F593" s="19">
        <v>56176071.659999996</v>
      </c>
      <c r="G593" s="17">
        <v>6.81</v>
      </c>
      <c r="H593" s="17">
        <v>83.96</v>
      </c>
      <c r="I593" s="17">
        <v>44.71</v>
      </c>
      <c r="J593" s="17">
        <v>258.98</v>
      </c>
      <c r="K593" s="17">
        <v>59.6</v>
      </c>
      <c r="L593" s="20" t="s">
        <v>17</v>
      </c>
    </row>
    <row r="594" spans="1:12" x14ac:dyDescent="0.25">
      <c r="A594" s="11">
        <v>2022</v>
      </c>
      <c r="B594" s="12" t="s">
        <v>35</v>
      </c>
      <c r="C594" s="12" t="s">
        <v>26</v>
      </c>
      <c r="D594" s="12" t="s">
        <v>24</v>
      </c>
      <c r="E594" s="13">
        <v>10585</v>
      </c>
      <c r="F594" s="14">
        <v>29685804.23</v>
      </c>
      <c r="G594" s="12">
        <v>3.51</v>
      </c>
      <c r="H594" s="12">
        <v>93.42</v>
      </c>
      <c r="I594" s="12">
        <v>38.630000000000003</v>
      </c>
      <c r="J594" s="12">
        <v>171.64</v>
      </c>
      <c r="K594" s="12">
        <v>87.93</v>
      </c>
      <c r="L594" s="15" t="s">
        <v>27</v>
      </c>
    </row>
    <row r="595" spans="1:12" x14ac:dyDescent="0.25">
      <c r="A595" s="16">
        <v>2022</v>
      </c>
      <c r="B595" s="17" t="s">
        <v>35</v>
      </c>
      <c r="C595" s="17" t="s">
        <v>28</v>
      </c>
      <c r="D595" s="17" t="s">
        <v>24</v>
      </c>
      <c r="E595" s="18">
        <v>10415</v>
      </c>
      <c r="F595" s="19">
        <v>16056993.77</v>
      </c>
      <c r="G595" s="17">
        <v>2.85</v>
      </c>
      <c r="H595" s="17">
        <v>87.84</v>
      </c>
      <c r="I595" s="17">
        <v>42.48</v>
      </c>
      <c r="J595" s="17">
        <v>160.24</v>
      </c>
      <c r="K595" s="17">
        <v>51.79</v>
      </c>
      <c r="L595" s="20" t="s">
        <v>15</v>
      </c>
    </row>
    <row r="596" spans="1:12" x14ac:dyDescent="0.25">
      <c r="A596" s="11">
        <v>2022</v>
      </c>
      <c r="B596" s="12" t="s">
        <v>35</v>
      </c>
      <c r="C596" s="12" t="s">
        <v>29</v>
      </c>
      <c r="D596" s="12" t="s">
        <v>24</v>
      </c>
      <c r="E596" s="13">
        <v>54159</v>
      </c>
      <c r="F596" s="14">
        <v>43416974.450000003</v>
      </c>
      <c r="G596" s="12">
        <v>5.91</v>
      </c>
      <c r="H596" s="12">
        <v>101.8</v>
      </c>
      <c r="I596" s="12">
        <v>45.27</v>
      </c>
      <c r="J596" s="12">
        <v>232.71</v>
      </c>
      <c r="K596" s="12">
        <v>51.01</v>
      </c>
      <c r="L596" s="15" t="s">
        <v>17</v>
      </c>
    </row>
    <row r="597" spans="1:12" x14ac:dyDescent="0.25">
      <c r="A597" s="16">
        <v>2022</v>
      </c>
      <c r="B597" s="17" t="s">
        <v>35</v>
      </c>
      <c r="C597" s="17" t="s">
        <v>30</v>
      </c>
      <c r="D597" s="17" t="s">
        <v>24</v>
      </c>
      <c r="E597" s="18">
        <v>17217</v>
      </c>
      <c r="F597" s="19">
        <v>31929959.75</v>
      </c>
      <c r="G597" s="17">
        <v>3.68</v>
      </c>
      <c r="H597" s="17">
        <v>41.36</v>
      </c>
      <c r="I597" s="17">
        <v>32</v>
      </c>
      <c r="J597" s="17">
        <v>291.72000000000003</v>
      </c>
      <c r="K597" s="17">
        <v>45.78</v>
      </c>
      <c r="L597" s="20" t="s">
        <v>19</v>
      </c>
    </row>
    <row r="598" spans="1:12" x14ac:dyDescent="0.25">
      <c r="A598" s="11">
        <v>2022</v>
      </c>
      <c r="B598" s="12" t="s">
        <v>35</v>
      </c>
      <c r="C598" s="12" t="s">
        <v>31</v>
      </c>
      <c r="D598" s="12" t="s">
        <v>24</v>
      </c>
      <c r="E598" s="13">
        <v>53719</v>
      </c>
      <c r="F598" s="14">
        <v>15328592.42</v>
      </c>
      <c r="G598" s="12">
        <v>3.88</v>
      </c>
      <c r="H598" s="12">
        <v>79.25</v>
      </c>
      <c r="I598" s="12">
        <v>36.07</v>
      </c>
      <c r="J598" s="12">
        <v>286.49</v>
      </c>
      <c r="K598" s="12">
        <v>48.06</v>
      </c>
      <c r="L598" s="15" t="s">
        <v>21</v>
      </c>
    </row>
    <row r="599" spans="1:12" x14ac:dyDescent="0.25">
      <c r="A599" s="16">
        <v>2022</v>
      </c>
      <c r="B599" s="17" t="s">
        <v>35</v>
      </c>
      <c r="C599" s="17" t="s">
        <v>32</v>
      </c>
      <c r="D599" s="17" t="s">
        <v>24</v>
      </c>
      <c r="E599" s="18">
        <v>58156</v>
      </c>
      <c r="F599" s="19">
        <v>45419753.700000003</v>
      </c>
      <c r="G599" s="17">
        <v>4.2799999999999896</v>
      </c>
      <c r="H599" s="17">
        <v>88.11</v>
      </c>
      <c r="I599" s="17">
        <v>44.95</v>
      </c>
      <c r="J599" s="17">
        <v>232.59</v>
      </c>
      <c r="K599" s="17">
        <v>86.74</v>
      </c>
      <c r="L599" s="20" t="s">
        <v>19</v>
      </c>
    </row>
    <row r="600" spans="1:12" x14ac:dyDescent="0.25">
      <c r="A600" s="11">
        <v>2022</v>
      </c>
      <c r="B600" s="12" t="s">
        <v>35</v>
      </c>
      <c r="C600" s="12" t="s">
        <v>33</v>
      </c>
      <c r="D600" s="12" t="s">
        <v>24</v>
      </c>
      <c r="E600" s="13">
        <v>33117</v>
      </c>
      <c r="F600" s="14">
        <v>5432435.60399999</v>
      </c>
      <c r="G600" s="12">
        <v>6.58</v>
      </c>
      <c r="H600" s="12">
        <v>83.47</v>
      </c>
      <c r="I600" s="12">
        <v>38.520000000000003</v>
      </c>
      <c r="J600" s="12">
        <v>282.72000000000003</v>
      </c>
      <c r="K600" s="12">
        <v>86.09</v>
      </c>
      <c r="L600" s="15" t="s">
        <v>15</v>
      </c>
    </row>
    <row r="601" spans="1:12" x14ac:dyDescent="0.25">
      <c r="A601" s="16">
        <v>2022</v>
      </c>
      <c r="B601" s="17" t="s">
        <v>35</v>
      </c>
      <c r="C601" s="17" t="s">
        <v>34</v>
      </c>
      <c r="D601" s="17" t="s">
        <v>24</v>
      </c>
      <c r="E601" s="18">
        <v>24948</v>
      </c>
      <c r="F601" s="19">
        <v>7564107.5760000004</v>
      </c>
      <c r="G601" s="17">
        <v>3.51</v>
      </c>
      <c r="H601" s="17">
        <v>89.68</v>
      </c>
      <c r="I601" s="17">
        <v>53.4</v>
      </c>
      <c r="J601" s="17">
        <v>284.12</v>
      </c>
      <c r="K601" s="17">
        <v>72.56</v>
      </c>
      <c r="L601" s="20" t="s">
        <v>17</v>
      </c>
    </row>
    <row r="602" spans="1:12" x14ac:dyDescent="0.25">
      <c r="A602" s="11">
        <v>2022</v>
      </c>
      <c r="B602" s="12" t="s">
        <v>36</v>
      </c>
      <c r="C602" s="12" t="s">
        <v>13</v>
      </c>
      <c r="D602" s="12" t="s">
        <v>14</v>
      </c>
      <c r="E602" s="13">
        <v>10671</v>
      </c>
      <c r="F602" s="14">
        <v>9842035.3650000002</v>
      </c>
      <c r="G602" s="12">
        <v>0.25</v>
      </c>
      <c r="H602" s="12">
        <v>50.83</v>
      </c>
      <c r="I602" s="12">
        <v>26.94</v>
      </c>
      <c r="J602" s="12">
        <v>249.36</v>
      </c>
      <c r="K602" s="12">
        <v>77.13</v>
      </c>
      <c r="L602" s="15" t="s">
        <v>15</v>
      </c>
    </row>
    <row r="603" spans="1:12" x14ac:dyDescent="0.25">
      <c r="A603" s="16">
        <v>2022</v>
      </c>
      <c r="B603" s="17" t="s">
        <v>36</v>
      </c>
      <c r="C603" s="17" t="s">
        <v>16</v>
      </c>
      <c r="D603" s="17" t="s">
        <v>14</v>
      </c>
      <c r="E603" s="18">
        <v>27006</v>
      </c>
      <c r="F603" s="19">
        <v>5136019.5420000004</v>
      </c>
      <c r="G603" s="17">
        <v>0.36</v>
      </c>
      <c r="H603" s="17">
        <v>70.180000000000007</v>
      </c>
      <c r="I603" s="17">
        <v>-0.05</v>
      </c>
      <c r="J603" s="17">
        <v>179.88</v>
      </c>
      <c r="K603" s="17">
        <v>63.62</v>
      </c>
      <c r="L603" s="20" t="s">
        <v>19</v>
      </c>
    </row>
    <row r="604" spans="1:12" x14ac:dyDescent="0.25">
      <c r="A604" s="11">
        <v>2022</v>
      </c>
      <c r="B604" s="12" t="s">
        <v>36</v>
      </c>
      <c r="C604" s="12" t="s">
        <v>18</v>
      </c>
      <c r="D604" s="12" t="s">
        <v>14</v>
      </c>
      <c r="E604" s="13">
        <v>35658</v>
      </c>
      <c r="F604" s="14">
        <v>14607494.42</v>
      </c>
      <c r="G604" s="12">
        <v>1.18</v>
      </c>
      <c r="H604" s="12">
        <v>33.54</v>
      </c>
      <c r="I604" s="12">
        <v>9.9600000000000009</v>
      </c>
      <c r="J604" s="12">
        <v>232.38</v>
      </c>
      <c r="K604" s="12">
        <v>66.959999999999994</v>
      </c>
      <c r="L604" s="15" t="s">
        <v>15</v>
      </c>
    </row>
    <row r="605" spans="1:12" x14ac:dyDescent="0.25">
      <c r="A605" s="16">
        <v>2022</v>
      </c>
      <c r="B605" s="17" t="s">
        <v>36</v>
      </c>
      <c r="C605" s="17" t="s">
        <v>20</v>
      </c>
      <c r="D605" s="17" t="s">
        <v>14</v>
      </c>
      <c r="E605" s="18">
        <v>8330</v>
      </c>
      <c r="F605" s="19">
        <v>26191927.649999999</v>
      </c>
      <c r="G605" s="17">
        <v>4</v>
      </c>
      <c r="H605" s="17">
        <v>73.87</v>
      </c>
      <c r="I605" s="17">
        <v>24.35</v>
      </c>
      <c r="J605" s="17">
        <v>169.49</v>
      </c>
      <c r="K605" s="17">
        <v>53.29</v>
      </c>
      <c r="L605" s="20" t="s">
        <v>21</v>
      </c>
    </row>
    <row r="606" spans="1:12" x14ac:dyDescent="0.25">
      <c r="A606" s="11">
        <v>2022</v>
      </c>
      <c r="B606" s="12" t="s">
        <v>36</v>
      </c>
      <c r="C606" s="12" t="s">
        <v>22</v>
      </c>
      <c r="D606" s="12" t="s">
        <v>14</v>
      </c>
      <c r="E606" s="13">
        <v>32243</v>
      </c>
      <c r="F606" s="14">
        <v>28519800.440000001</v>
      </c>
      <c r="G606" s="12">
        <v>0.12999999999999901</v>
      </c>
      <c r="H606" s="12">
        <v>27.27</v>
      </c>
      <c r="I606" s="12">
        <v>22.56</v>
      </c>
      <c r="J606" s="12">
        <v>82.24</v>
      </c>
      <c r="K606" s="12">
        <v>53.9</v>
      </c>
      <c r="L606" s="15" t="s">
        <v>21</v>
      </c>
    </row>
    <row r="607" spans="1:12" x14ac:dyDescent="0.25">
      <c r="A607" s="16">
        <v>2022</v>
      </c>
      <c r="B607" s="17" t="s">
        <v>36</v>
      </c>
      <c r="C607" s="17" t="s">
        <v>23</v>
      </c>
      <c r="D607" s="17" t="s">
        <v>24</v>
      </c>
      <c r="E607" s="18">
        <v>49871</v>
      </c>
      <c r="F607" s="19">
        <v>8902985.2439999897</v>
      </c>
      <c r="G607" s="17">
        <v>6.82</v>
      </c>
      <c r="H607" s="17">
        <v>48.95</v>
      </c>
      <c r="I607" s="17">
        <v>18.68</v>
      </c>
      <c r="J607" s="17">
        <v>240.7</v>
      </c>
      <c r="K607" s="17">
        <v>53.91</v>
      </c>
      <c r="L607" s="20" t="s">
        <v>21</v>
      </c>
    </row>
    <row r="608" spans="1:12" x14ac:dyDescent="0.25">
      <c r="A608" s="11">
        <v>2022</v>
      </c>
      <c r="B608" s="12" t="s">
        <v>36</v>
      </c>
      <c r="C608" s="12" t="s">
        <v>25</v>
      </c>
      <c r="D608" s="12" t="s">
        <v>24</v>
      </c>
      <c r="E608" s="13">
        <v>39287</v>
      </c>
      <c r="F608" s="14">
        <v>21438284.870000001</v>
      </c>
      <c r="G608" s="12">
        <v>4.97</v>
      </c>
      <c r="H608" s="12">
        <v>70.25</v>
      </c>
      <c r="I608" s="12">
        <v>52.39</v>
      </c>
      <c r="J608" s="12">
        <v>215.78</v>
      </c>
      <c r="K608" s="12">
        <v>74.819999999999993</v>
      </c>
      <c r="L608" s="15" t="s">
        <v>21</v>
      </c>
    </row>
    <row r="609" spans="1:12" x14ac:dyDescent="0.25">
      <c r="A609" s="16">
        <v>2022</v>
      </c>
      <c r="B609" s="17" t="s">
        <v>36</v>
      </c>
      <c r="C609" s="17" t="s">
        <v>26</v>
      </c>
      <c r="D609" s="17" t="s">
        <v>24</v>
      </c>
      <c r="E609" s="18">
        <v>43668</v>
      </c>
      <c r="F609" s="19">
        <v>32615703.949999999</v>
      </c>
      <c r="G609" s="17">
        <v>3.64</v>
      </c>
      <c r="H609" s="17">
        <v>41.86</v>
      </c>
      <c r="I609" s="17">
        <v>25.87</v>
      </c>
      <c r="J609" s="17">
        <v>164.53</v>
      </c>
      <c r="K609" s="17">
        <v>62.1</v>
      </c>
      <c r="L609" s="20" t="s">
        <v>19</v>
      </c>
    </row>
    <row r="610" spans="1:12" x14ac:dyDescent="0.25">
      <c r="A610" s="11">
        <v>2022</v>
      </c>
      <c r="B610" s="12" t="s">
        <v>36</v>
      </c>
      <c r="C610" s="12" t="s">
        <v>28</v>
      </c>
      <c r="D610" s="12" t="s">
        <v>24</v>
      </c>
      <c r="E610" s="13">
        <v>64883</v>
      </c>
      <c r="F610" s="14">
        <v>70601769.767999902</v>
      </c>
      <c r="G610" s="12">
        <v>4.5999999999999996</v>
      </c>
      <c r="H610" s="12">
        <v>61.16</v>
      </c>
      <c r="I610" s="12">
        <v>31.32</v>
      </c>
      <c r="J610" s="12">
        <v>154.51</v>
      </c>
      <c r="K610" s="12">
        <v>92.8</v>
      </c>
      <c r="L610" s="15" t="s">
        <v>17</v>
      </c>
    </row>
    <row r="611" spans="1:12" x14ac:dyDescent="0.25">
      <c r="A611" s="16">
        <v>2022</v>
      </c>
      <c r="B611" s="17" t="s">
        <v>36</v>
      </c>
      <c r="C611" s="17" t="s">
        <v>29</v>
      </c>
      <c r="D611" s="17" t="s">
        <v>24</v>
      </c>
      <c r="E611" s="18">
        <v>29698</v>
      </c>
      <c r="F611" s="19">
        <v>9547956.3839999996</v>
      </c>
      <c r="G611" s="17">
        <v>3.14</v>
      </c>
      <c r="H611" s="17">
        <v>93.12</v>
      </c>
      <c r="I611" s="17">
        <v>34.76</v>
      </c>
      <c r="J611" s="17">
        <v>246.75</v>
      </c>
      <c r="K611" s="17">
        <v>65.459999999999994</v>
      </c>
      <c r="L611" s="20" t="s">
        <v>19</v>
      </c>
    </row>
    <row r="612" spans="1:12" x14ac:dyDescent="0.25">
      <c r="A612" s="11">
        <v>2022</v>
      </c>
      <c r="B612" s="12" t="s">
        <v>36</v>
      </c>
      <c r="C612" s="12" t="s">
        <v>30</v>
      </c>
      <c r="D612" s="12" t="s">
        <v>24</v>
      </c>
      <c r="E612" s="13">
        <v>16005</v>
      </c>
      <c r="F612" s="14">
        <v>41833223.630000003</v>
      </c>
      <c r="G612" s="12">
        <v>6.71</v>
      </c>
      <c r="H612" s="12">
        <v>88.73</v>
      </c>
      <c r="I612" s="12">
        <v>39.93</v>
      </c>
      <c r="J612" s="12">
        <v>281.7</v>
      </c>
      <c r="K612" s="12">
        <v>86.82</v>
      </c>
      <c r="L612" s="15" t="s">
        <v>19</v>
      </c>
    </row>
    <row r="613" spans="1:12" x14ac:dyDescent="0.25">
      <c r="A613" s="16">
        <v>2022</v>
      </c>
      <c r="B613" s="17" t="s">
        <v>36</v>
      </c>
      <c r="C613" s="17" t="s">
        <v>31</v>
      </c>
      <c r="D613" s="17" t="s">
        <v>24</v>
      </c>
      <c r="E613" s="18">
        <v>55071</v>
      </c>
      <c r="F613" s="19">
        <v>52340365.75</v>
      </c>
      <c r="G613" s="17">
        <v>3.6</v>
      </c>
      <c r="H613" s="17">
        <v>55.45</v>
      </c>
      <c r="I613" s="17">
        <v>51.49</v>
      </c>
      <c r="J613" s="17">
        <v>279.27</v>
      </c>
      <c r="K613" s="17">
        <v>73.87</v>
      </c>
      <c r="L613" s="20" t="s">
        <v>27</v>
      </c>
    </row>
    <row r="614" spans="1:12" x14ac:dyDescent="0.25">
      <c r="A614" s="11">
        <v>2022</v>
      </c>
      <c r="B614" s="12" t="s">
        <v>36</v>
      </c>
      <c r="C614" s="12" t="s">
        <v>32</v>
      </c>
      <c r="D614" s="12" t="s">
        <v>24</v>
      </c>
      <c r="E614" s="13">
        <v>55853</v>
      </c>
      <c r="F614" s="14">
        <v>6813706.7280000001</v>
      </c>
      <c r="G614" s="12">
        <v>4.88</v>
      </c>
      <c r="H614" s="12">
        <v>62.85</v>
      </c>
      <c r="I614" s="12">
        <v>33.76</v>
      </c>
      <c r="J614" s="12">
        <v>63.15</v>
      </c>
      <c r="K614" s="12">
        <v>69.849999999999994</v>
      </c>
      <c r="L614" s="15" t="s">
        <v>21</v>
      </c>
    </row>
    <row r="615" spans="1:12" x14ac:dyDescent="0.25">
      <c r="A615" s="16">
        <v>2022</v>
      </c>
      <c r="B615" s="17" t="s">
        <v>36</v>
      </c>
      <c r="C615" s="17" t="s">
        <v>33</v>
      </c>
      <c r="D615" s="17" t="s">
        <v>24</v>
      </c>
      <c r="E615" s="18">
        <v>47291</v>
      </c>
      <c r="F615" s="19">
        <v>19328484.68</v>
      </c>
      <c r="G615" s="17">
        <v>6.51</v>
      </c>
      <c r="H615" s="17">
        <v>102.8</v>
      </c>
      <c r="I615" s="17">
        <v>36.28</v>
      </c>
      <c r="J615" s="17">
        <v>222.44</v>
      </c>
      <c r="K615" s="17">
        <v>74.489999999999995</v>
      </c>
      <c r="L615" s="20" t="s">
        <v>15</v>
      </c>
    </row>
    <row r="616" spans="1:12" x14ac:dyDescent="0.25">
      <c r="A616" s="11">
        <v>2022</v>
      </c>
      <c r="B616" s="12" t="s">
        <v>36</v>
      </c>
      <c r="C616" s="12" t="s">
        <v>34</v>
      </c>
      <c r="D616" s="12" t="s">
        <v>24</v>
      </c>
      <c r="E616" s="13">
        <v>30901</v>
      </c>
      <c r="F616" s="14">
        <v>11882936.57</v>
      </c>
      <c r="G616" s="12">
        <v>3.47</v>
      </c>
      <c r="H616" s="12">
        <v>95.55</v>
      </c>
      <c r="I616" s="12">
        <v>15.87</v>
      </c>
      <c r="J616" s="12">
        <v>182.47</v>
      </c>
      <c r="K616" s="12">
        <v>50.98</v>
      </c>
      <c r="L616" s="15" t="s">
        <v>15</v>
      </c>
    </row>
    <row r="617" spans="1:12" x14ac:dyDescent="0.25">
      <c r="A617" s="16">
        <v>2022</v>
      </c>
      <c r="B617" s="17" t="s">
        <v>37</v>
      </c>
      <c r="C617" s="17" t="s">
        <v>13</v>
      </c>
      <c r="D617" s="17" t="s">
        <v>14</v>
      </c>
      <c r="E617" s="18">
        <v>8330</v>
      </c>
      <c r="F617" s="19">
        <v>4252116.8880000003</v>
      </c>
      <c r="G617" s="17">
        <v>2.0099999999999998</v>
      </c>
      <c r="H617" s="17">
        <v>89.2</v>
      </c>
      <c r="I617" s="17">
        <v>17.57</v>
      </c>
      <c r="J617" s="17">
        <v>213.49</v>
      </c>
      <c r="K617" s="17">
        <v>61.069999999999901</v>
      </c>
      <c r="L617" s="20" t="s">
        <v>21</v>
      </c>
    </row>
    <row r="618" spans="1:12" x14ac:dyDescent="0.25">
      <c r="A618" s="11">
        <v>2022</v>
      </c>
      <c r="B618" s="12" t="s">
        <v>37</v>
      </c>
      <c r="C618" s="12" t="s">
        <v>16</v>
      </c>
      <c r="D618" s="12" t="s">
        <v>14</v>
      </c>
      <c r="E618" s="13">
        <v>16902</v>
      </c>
      <c r="F618" s="14">
        <v>45919818.68</v>
      </c>
      <c r="G618" s="12">
        <v>-0.25</v>
      </c>
      <c r="H618" s="12">
        <v>68.67</v>
      </c>
      <c r="I618" s="12">
        <v>2.5299999999999998</v>
      </c>
      <c r="J618" s="12">
        <v>66.34</v>
      </c>
      <c r="K618" s="12">
        <v>47.23</v>
      </c>
      <c r="L618" s="15" t="s">
        <v>15</v>
      </c>
    </row>
    <row r="619" spans="1:12" x14ac:dyDescent="0.25">
      <c r="A619" s="16">
        <v>2022</v>
      </c>
      <c r="B619" s="17" t="s">
        <v>37</v>
      </c>
      <c r="C619" s="17" t="s">
        <v>18</v>
      </c>
      <c r="D619" s="17" t="s">
        <v>14</v>
      </c>
      <c r="E619" s="18">
        <v>10352</v>
      </c>
      <c r="F619" s="19">
        <v>10351376.890000001</v>
      </c>
      <c r="G619" s="17">
        <v>3.16</v>
      </c>
      <c r="H619" s="17">
        <v>68.23</v>
      </c>
      <c r="I619" s="17">
        <v>24.33</v>
      </c>
      <c r="J619" s="17">
        <v>137.24</v>
      </c>
      <c r="K619" s="17">
        <v>49.71</v>
      </c>
      <c r="L619" s="20" t="s">
        <v>15</v>
      </c>
    </row>
    <row r="620" spans="1:12" x14ac:dyDescent="0.25">
      <c r="A620" s="11">
        <v>2022</v>
      </c>
      <c r="B620" s="12" t="s">
        <v>37</v>
      </c>
      <c r="C620" s="12" t="s">
        <v>20</v>
      </c>
      <c r="D620" s="12" t="s">
        <v>14</v>
      </c>
      <c r="E620" s="13">
        <v>20904</v>
      </c>
      <c r="F620" s="14">
        <v>41945284.640000001</v>
      </c>
      <c r="G620" s="12">
        <v>-0.06</v>
      </c>
      <c r="H620" s="12">
        <v>53.51</v>
      </c>
      <c r="I620" s="12">
        <v>35.450000000000003</v>
      </c>
      <c r="J620" s="12">
        <v>63.87</v>
      </c>
      <c r="K620" s="12">
        <v>78.05</v>
      </c>
      <c r="L620" s="15" t="s">
        <v>15</v>
      </c>
    </row>
    <row r="621" spans="1:12" x14ac:dyDescent="0.25">
      <c r="A621" s="16">
        <v>2022</v>
      </c>
      <c r="B621" s="17" t="s">
        <v>37</v>
      </c>
      <c r="C621" s="17" t="s">
        <v>22</v>
      </c>
      <c r="D621" s="17" t="s">
        <v>14</v>
      </c>
      <c r="E621" s="18">
        <v>32799</v>
      </c>
      <c r="F621" s="19">
        <v>30084811.850000001</v>
      </c>
      <c r="G621" s="17">
        <v>0.7</v>
      </c>
      <c r="H621" s="17">
        <v>89.07</v>
      </c>
      <c r="I621" s="17">
        <v>45.08</v>
      </c>
      <c r="J621" s="17">
        <v>253.23</v>
      </c>
      <c r="K621" s="17">
        <v>61.38</v>
      </c>
      <c r="L621" s="20" t="s">
        <v>27</v>
      </c>
    </row>
    <row r="622" spans="1:12" x14ac:dyDescent="0.25">
      <c r="A622" s="11">
        <v>2022</v>
      </c>
      <c r="B622" s="12" t="s">
        <v>37</v>
      </c>
      <c r="C622" s="12" t="s">
        <v>23</v>
      </c>
      <c r="D622" s="12" t="s">
        <v>24</v>
      </c>
      <c r="E622" s="13">
        <v>17884</v>
      </c>
      <c r="F622" s="14">
        <v>11319455.1</v>
      </c>
      <c r="G622" s="12">
        <v>4.18</v>
      </c>
      <c r="H622" s="12">
        <v>99.95</v>
      </c>
      <c r="I622" s="12">
        <v>7.17</v>
      </c>
      <c r="J622" s="12">
        <v>265.77999999999997</v>
      </c>
      <c r="K622" s="12">
        <v>86.45</v>
      </c>
      <c r="L622" s="15" t="s">
        <v>21</v>
      </c>
    </row>
    <row r="623" spans="1:12" x14ac:dyDescent="0.25">
      <c r="A623" s="16">
        <v>2022</v>
      </c>
      <c r="B623" s="17" t="s">
        <v>37</v>
      </c>
      <c r="C623" s="17" t="s">
        <v>25</v>
      </c>
      <c r="D623" s="17" t="s">
        <v>24</v>
      </c>
      <c r="E623" s="18">
        <v>40963</v>
      </c>
      <c r="F623" s="19">
        <v>10902531.08</v>
      </c>
      <c r="G623" s="17">
        <v>2.86</v>
      </c>
      <c r="H623" s="17">
        <v>42.87</v>
      </c>
      <c r="I623" s="17">
        <v>21.56</v>
      </c>
      <c r="J623" s="17">
        <v>281.31</v>
      </c>
      <c r="K623" s="17">
        <v>81.510000000000005</v>
      </c>
      <c r="L623" s="20" t="s">
        <v>19</v>
      </c>
    </row>
    <row r="624" spans="1:12" x14ac:dyDescent="0.25">
      <c r="A624" s="11">
        <v>2022</v>
      </c>
      <c r="B624" s="12" t="s">
        <v>37</v>
      </c>
      <c r="C624" s="12" t="s">
        <v>26</v>
      </c>
      <c r="D624" s="12" t="s">
        <v>24</v>
      </c>
      <c r="E624" s="13">
        <v>15691</v>
      </c>
      <c r="F624" s="14">
        <v>21823040.170000002</v>
      </c>
      <c r="G624" s="12">
        <v>3.07</v>
      </c>
      <c r="H624" s="12">
        <v>42.69</v>
      </c>
      <c r="I624" s="12">
        <v>42.69</v>
      </c>
      <c r="J624" s="12">
        <v>135.63</v>
      </c>
      <c r="K624" s="12">
        <v>72.27</v>
      </c>
      <c r="L624" s="15" t="s">
        <v>21</v>
      </c>
    </row>
    <row r="625" spans="1:12" x14ac:dyDescent="0.25">
      <c r="A625" s="16">
        <v>2022</v>
      </c>
      <c r="B625" s="17" t="s">
        <v>37</v>
      </c>
      <c r="C625" s="17" t="s">
        <v>28</v>
      </c>
      <c r="D625" s="17" t="s">
        <v>24</v>
      </c>
      <c r="E625" s="18">
        <v>23653</v>
      </c>
      <c r="F625" s="19">
        <v>24085328.149999999</v>
      </c>
      <c r="G625" s="17">
        <v>5.64</v>
      </c>
      <c r="H625" s="17">
        <v>87.55</v>
      </c>
      <c r="I625" s="17">
        <v>41.3</v>
      </c>
      <c r="J625" s="17">
        <v>170.64</v>
      </c>
      <c r="K625" s="17">
        <v>46.15</v>
      </c>
      <c r="L625" s="20" t="s">
        <v>27</v>
      </c>
    </row>
    <row r="626" spans="1:12" x14ac:dyDescent="0.25">
      <c r="A626" s="11">
        <v>2022</v>
      </c>
      <c r="B626" s="12" t="s">
        <v>37</v>
      </c>
      <c r="C626" s="12" t="s">
        <v>29</v>
      </c>
      <c r="D626" s="12" t="s">
        <v>24</v>
      </c>
      <c r="E626" s="13">
        <v>56264</v>
      </c>
      <c r="F626" s="14">
        <v>11515465.800000001</v>
      </c>
      <c r="G626" s="12">
        <v>3.42</v>
      </c>
      <c r="H626" s="12">
        <v>82.21</v>
      </c>
      <c r="I626" s="12">
        <v>39.950000000000003</v>
      </c>
      <c r="J626" s="12">
        <v>68.7</v>
      </c>
      <c r="K626" s="12">
        <v>94.84</v>
      </c>
      <c r="L626" s="15" t="s">
        <v>27</v>
      </c>
    </row>
    <row r="627" spans="1:12" x14ac:dyDescent="0.25">
      <c r="A627" s="16">
        <v>2022</v>
      </c>
      <c r="B627" s="17" t="s">
        <v>37</v>
      </c>
      <c r="C627" s="17" t="s">
        <v>30</v>
      </c>
      <c r="D627" s="17" t="s">
        <v>24</v>
      </c>
      <c r="E627" s="18">
        <v>47629</v>
      </c>
      <c r="F627" s="19">
        <v>40258147.689999998</v>
      </c>
      <c r="G627" s="17">
        <v>2.59</v>
      </c>
      <c r="H627" s="17">
        <v>62.4</v>
      </c>
      <c r="I627" s="17">
        <v>46.2</v>
      </c>
      <c r="J627" s="17">
        <v>174.55</v>
      </c>
      <c r="K627" s="17">
        <v>88.86</v>
      </c>
      <c r="L627" s="20" t="s">
        <v>17</v>
      </c>
    </row>
    <row r="628" spans="1:12" x14ac:dyDescent="0.25">
      <c r="A628" s="11">
        <v>2022</v>
      </c>
      <c r="B628" s="12" t="s">
        <v>37</v>
      </c>
      <c r="C628" s="12" t="s">
        <v>31</v>
      </c>
      <c r="D628" s="12" t="s">
        <v>24</v>
      </c>
      <c r="E628" s="13">
        <v>22829</v>
      </c>
      <c r="F628" s="14">
        <v>33124655.16</v>
      </c>
      <c r="G628" s="12">
        <v>6.4</v>
      </c>
      <c r="H628" s="12">
        <v>70.69</v>
      </c>
      <c r="I628" s="12">
        <v>26.25</v>
      </c>
      <c r="J628" s="12">
        <v>125.31</v>
      </c>
      <c r="K628" s="12">
        <v>93.2</v>
      </c>
      <c r="L628" s="15" t="s">
        <v>21</v>
      </c>
    </row>
    <row r="629" spans="1:12" x14ac:dyDescent="0.25">
      <c r="A629" s="16">
        <v>2022</v>
      </c>
      <c r="B629" s="17" t="s">
        <v>37</v>
      </c>
      <c r="C629" s="17" t="s">
        <v>32</v>
      </c>
      <c r="D629" s="17" t="s">
        <v>24</v>
      </c>
      <c r="E629" s="18">
        <v>33785</v>
      </c>
      <c r="F629" s="19">
        <v>47573854.619999997</v>
      </c>
      <c r="G629" s="17">
        <v>5.64</v>
      </c>
      <c r="H629" s="17">
        <v>92.95</v>
      </c>
      <c r="I629" s="17">
        <v>33.129999999999903</v>
      </c>
      <c r="J629" s="17">
        <v>109.94</v>
      </c>
      <c r="K629" s="17">
        <v>93.28</v>
      </c>
      <c r="L629" s="20" t="s">
        <v>17</v>
      </c>
    </row>
    <row r="630" spans="1:12" x14ac:dyDescent="0.25">
      <c r="A630" s="11">
        <v>2022</v>
      </c>
      <c r="B630" s="12" t="s">
        <v>37</v>
      </c>
      <c r="C630" s="12" t="s">
        <v>33</v>
      </c>
      <c r="D630" s="12" t="s">
        <v>24</v>
      </c>
      <c r="E630" s="13">
        <v>28676</v>
      </c>
      <c r="F630" s="14">
        <v>33319538.640000001</v>
      </c>
      <c r="G630" s="12">
        <v>5.17</v>
      </c>
      <c r="H630" s="12">
        <v>80.3</v>
      </c>
      <c r="I630" s="12">
        <v>30.76</v>
      </c>
      <c r="J630" s="12">
        <v>213.39</v>
      </c>
      <c r="K630" s="12">
        <v>76.2</v>
      </c>
      <c r="L630" s="15" t="s">
        <v>15</v>
      </c>
    </row>
    <row r="631" spans="1:12" x14ac:dyDescent="0.25">
      <c r="A631" s="16">
        <v>2022</v>
      </c>
      <c r="B631" s="17" t="s">
        <v>37</v>
      </c>
      <c r="C631" s="17" t="s">
        <v>34</v>
      </c>
      <c r="D631" s="17" t="s">
        <v>24</v>
      </c>
      <c r="E631" s="18">
        <v>62215</v>
      </c>
      <c r="F631" s="19">
        <v>44729535.659999996</v>
      </c>
      <c r="G631" s="17">
        <v>3.04</v>
      </c>
      <c r="H631" s="17">
        <v>93.8</v>
      </c>
      <c r="I631" s="17">
        <v>38.79</v>
      </c>
      <c r="J631" s="17">
        <v>253.73</v>
      </c>
      <c r="K631" s="17">
        <v>45.63</v>
      </c>
      <c r="L631" s="20" t="s">
        <v>17</v>
      </c>
    </row>
    <row r="632" spans="1:12" x14ac:dyDescent="0.25">
      <c r="A632" s="11">
        <v>2022</v>
      </c>
      <c r="B632" s="12" t="s">
        <v>36</v>
      </c>
      <c r="C632" s="12" t="s">
        <v>30</v>
      </c>
      <c r="D632" s="12" t="s">
        <v>24</v>
      </c>
      <c r="E632" s="13">
        <v>16005</v>
      </c>
      <c r="F632" s="14">
        <v>41833223.630000003</v>
      </c>
      <c r="G632" s="12">
        <v>6.71</v>
      </c>
      <c r="H632" s="12">
        <v>88.73</v>
      </c>
      <c r="I632" s="12">
        <v>39.93</v>
      </c>
      <c r="J632" s="12">
        <v>281.7</v>
      </c>
      <c r="K632" s="12">
        <v>86.82</v>
      </c>
      <c r="L632" s="15" t="s">
        <v>19</v>
      </c>
    </row>
    <row r="633" spans="1:12" x14ac:dyDescent="0.25">
      <c r="A633" s="16">
        <v>2022</v>
      </c>
      <c r="B633" s="17" t="s">
        <v>36</v>
      </c>
      <c r="C633" s="17" t="s">
        <v>20</v>
      </c>
      <c r="D633" s="17" t="s">
        <v>14</v>
      </c>
      <c r="E633" s="18">
        <v>8330</v>
      </c>
      <c r="F633" s="19">
        <v>26191927.649999999</v>
      </c>
      <c r="G633" s="17">
        <v>4</v>
      </c>
      <c r="H633" s="17">
        <v>73.87</v>
      </c>
      <c r="I633" s="17">
        <v>24.35</v>
      </c>
      <c r="J633" s="17">
        <v>169.49</v>
      </c>
      <c r="K633" s="17">
        <v>53.29</v>
      </c>
      <c r="L633" s="20" t="s">
        <v>21</v>
      </c>
    </row>
    <row r="634" spans="1:12" x14ac:dyDescent="0.25">
      <c r="A634" s="11">
        <v>2022</v>
      </c>
      <c r="B634" s="12" t="s">
        <v>12</v>
      </c>
      <c r="C634" s="12" t="s">
        <v>29</v>
      </c>
      <c r="D634" s="12" t="s">
        <v>24</v>
      </c>
      <c r="E634" s="13">
        <v>6800</v>
      </c>
      <c r="F634" s="14">
        <v>6213699.6119999997</v>
      </c>
      <c r="G634" s="12">
        <v>6.1</v>
      </c>
      <c r="H634" s="12">
        <v>52.04</v>
      </c>
      <c r="I634" s="12">
        <v>54.21</v>
      </c>
      <c r="J634" s="12">
        <v>81.93</v>
      </c>
      <c r="K634" s="12">
        <v>52.88</v>
      </c>
      <c r="L634" s="15" t="s">
        <v>19</v>
      </c>
    </row>
    <row r="635" spans="1:12" x14ac:dyDescent="0.25">
      <c r="A635" s="16">
        <v>2022</v>
      </c>
      <c r="B635" s="17" t="s">
        <v>36</v>
      </c>
      <c r="C635" s="17" t="s">
        <v>22</v>
      </c>
      <c r="D635" s="17" t="s">
        <v>14</v>
      </c>
      <c r="E635" s="18">
        <v>32243</v>
      </c>
      <c r="F635" s="19">
        <v>28519800.440000001</v>
      </c>
      <c r="G635" s="17">
        <v>0.12999999999999901</v>
      </c>
      <c r="H635" s="17">
        <v>27.27</v>
      </c>
      <c r="I635" s="17">
        <v>22.56</v>
      </c>
      <c r="J635" s="17">
        <v>82.24</v>
      </c>
      <c r="K635" s="17">
        <v>53.9</v>
      </c>
      <c r="L635" s="20" t="s">
        <v>21</v>
      </c>
    </row>
    <row r="636" spans="1:12" x14ac:dyDescent="0.25">
      <c r="A636" s="11">
        <v>2022</v>
      </c>
      <c r="B636" s="12" t="s">
        <v>36</v>
      </c>
      <c r="C636" s="12" t="s">
        <v>28</v>
      </c>
      <c r="D636" s="12" t="s">
        <v>24</v>
      </c>
      <c r="E636" s="13">
        <v>64883</v>
      </c>
      <c r="F636" s="14">
        <v>70601769.767999902</v>
      </c>
      <c r="G636" s="12">
        <v>4.5999999999999996</v>
      </c>
      <c r="H636" s="12">
        <v>61.16</v>
      </c>
      <c r="I636" s="12">
        <v>31.32</v>
      </c>
      <c r="J636" s="12">
        <v>154.51</v>
      </c>
      <c r="K636" s="12">
        <v>92.8</v>
      </c>
      <c r="L636" s="15" t="s">
        <v>17</v>
      </c>
    </row>
    <row r="637" spans="1:12" x14ac:dyDescent="0.25">
      <c r="A637" s="16">
        <v>2022</v>
      </c>
      <c r="B637" s="17" t="s">
        <v>37</v>
      </c>
      <c r="C637" s="17" t="s">
        <v>32</v>
      </c>
      <c r="D637" s="17" t="s">
        <v>24</v>
      </c>
      <c r="E637" s="18">
        <v>33785</v>
      </c>
      <c r="F637" s="19">
        <v>47573854.619999997</v>
      </c>
      <c r="G637" s="17">
        <v>5.64</v>
      </c>
      <c r="H637" s="17">
        <v>92.95</v>
      </c>
      <c r="I637" s="17">
        <v>33.129999999999903</v>
      </c>
      <c r="J637" s="17">
        <v>109.94</v>
      </c>
      <c r="K637" s="17">
        <v>93.28</v>
      </c>
      <c r="L637" s="20" t="s">
        <v>17</v>
      </c>
    </row>
    <row r="638" spans="1:12" x14ac:dyDescent="0.25">
      <c r="A638" s="11">
        <v>2022</v>
      </c>
      <c r="B638" s="12" t="s">
        <v>35</v>
      </c>
      <c r="C638" s="12" t="s">
        <v>25</v>
      </c>
      <c r="D638" s="12" t="s">
        <v>24</v>
      </c>
      <c r="E638" s="13">
        <v>15007</v>
      </c>
      <c r="F638" s="14">
        <v>56176071.659999996</v>
      </c>
      <c r="G638" s="12">
        <v>6.81</v>
      </c>
      <c r="H638" s="12">
        <v>83.96</v>
      </c>
      <c r="I638" s="12">
        <v>44.71</v>
      </c>
      <c r="J638" s="12">
        <v>258.98</v>
      </c>
      <c r="K638" s="12">
        <v>59.6</v>
      </c>
      <c r="L638" s="15" t="s">
        <v>17</v>
      </c>
    </row>
    <row r="639" spans="1:12" x14ac:dyDescent="0.25">
      <c r="A639" s="16">
        <v>2022</v>
      </c>
      <c r="B639" s="17" t="s">
        <v>36</v>
      </c>
      <c r="C639" s="17" t="s">
        <v>31</v>
      </c>
      <c r="D639" s="17" t="s">
        <v>24</v>
      </c>
      <c r="E639" s="18">
        <v>55071</v>
      </c>
      <c r="F639" s="19">
        <v>52340365.75</v>
      </c>
      <c r="G639" s="17">
        <v>3.6</v>
      </c>
      <c r="H639" s="17">
        <v>55.45</v>
      </c>
      <c r="I639" s="17">
        <v>51.49</v>
      </c>
      <c r="J639" s="17">
        <v>279.27</v>
      </c>
      <c r="K639" s="17">
        <v>73.87</v>
      </c>
      <c r="L639" s="20" t="s">
        <v>27</v>
      </c>
    </row>
    <row r="640" spans="1:12" x14ac:dyDescent="0.25">
      <c r="A640" s="11">
        <v>2022</v>
      </c>
      <c r="B640" s="12" t="s">
        <v>35</v>
      </c>
      <c r="C640" s="12" t="s">
        <v>16</v>
      </c>
      <c r="D640" s="12" t="s">
        <v>14</v>
      </c>
      <c r="E640" s="13">
        <v>5465</v>
      </c>
      <c r="F640" s="14">
        <v>14185149.880000001</v>
      </c>
      <c r="G640" s="12">
        <v>1.97</v>
      </c>
      <c r="H640" s="12">
        <v>73.540000000000006</v>
      </c>
      <c r="I640" s="12">
        <v>45.99</v>
      </c>
      <c r="J640" s="12">
        <v>292.18</v>
      </c>
      <c r="K640" s="12">
        <v>37.14</v>
      </c>
      <c r="L640" s="15" t="s">
        <v>21</v>
      </c>
    </row>
    <row r="641" spans="1:12" x14ac:dyDescent="0.25">
      <c r="A641" s="16">
        <v>2022</v>
      </c>
      <c r="B641" s="17" t="s">
        <v>35</v>
      </c>
      <c r="C641" s="17" t="s">
        <v>25</v>
      </c>
      <c r="D641" s="17" t="s">
        <v>24</v>
      </c>
      <c r="E641" s="18">
        <v>15007</v>
      </c>
      <c r="F641" s="19">
        <v>56176071.659999996</v>
      </c>
      <c r="G641" s="17">
        <v>6.81</v>
      </c>
      <c r="H641" s="17">
        <v>83.96</v>
      </c>
      <c r="I641" s="17">
        <v>44.71</v>
      </c>
      <c r="J641" s="17">
        <v>258.98</v>
      </c>
      <c r="K641" s="17">
        <v>59.6</v>
      </c>
      <c r="L641" s="20" t="s">
        <v>17</v>
      </c>
    </row>
    <row r="642" spans="1:12" x14ac:dyDescent="0.25">
      <c r="A642" s="11">
        <v>2022</v>
      </c>
      <c r="B642" s="12" t="s">
        <v>37</v>
      </c>
      <c r="C642" s="12" t="s">
        <v>31</v>
      </c>
      <c r="D642" s="12" t="s">
        <v>24</v>
      </c>
      <c r="E642" s="13">
        <v>22829</v>
      </c>
      <c r="F642" s="14">
        <v>33124655.16</v>
      </c>
      <c r="G642" s="12">
        <v>6.4</v>
      </c>
      <c r="H642" s="12">
        <v>70.69</v>
      </c>
      <c r="I642" s="12">
        <v>26.25</v>
      </c>
      <c r="J642" s="12">
        <v>125.31</v>
      </c>
      <c r="K642" s="12">
        <v>93.2</v>
      </c>
      <c r="L642" s="15" t="s">
        <v>21</v>
      </c>
    </row>
    <row r="643" spans="1:12" x14ac:dyDescent="0.25">
      <c r="A643" s="16">
        <v>2022</v>
      </c>
      <c r="B643" s="17" t="s">
        <v>36</v>
      </c>
      <c r="C643" s="17" t="s">
        <v>26</v>
      </c>
      <c r="D643" s="17" t="s">
        <v>24</v>
      </c>
      <c r="E643" s="18">
        <v>43668</v>
      </c>
      <c r="F643" s="19">
        <v>32615703.949999999</v>
      </c>
      <c r="G643" s="17">
        <v>3.64</v>
      </c>
      <c r="H643" s="17">
        <v>41.86</v>
      </c>
      <c r="I643" s="17">
        <v>25.87</v>
      </c>
      <c r="J643" s="17">
        <v>164.53</v>
      </c>
      <c r="K643" s="17">
        <v>62.1</v>
      </c>
      <c r="L643" s="20" t="s">
        <v>19</v>
      </c>
    </row>
    <row r="644" spans="1:12" x14ac:dyDescent="0.25">
      <c r="A644" s="11">
        <v>2022</v>
      </c>
      <c r="B644" s="12" t="s">
        <v>35</v>
      </c>
      <c r="C644" s="12" t="s">
        <v>16</v>
      </c>
      <c r="D644" s="12" t="s">
        <v>14</v>
      </c>
      <c r="E644" s="13">
        <v>5465</v>
      </c>
      <c r="F644" s="14">
        <v>14185149.880000001</v>
      </c>
      <c r="G644" s="12">
        <v>1.97</v>
      </c>
      <c r="H644" s="12">
        <v>73.540000000000006</v>
      </c>
      <c r="I644" s="12">
        <v>45.99</v>
      </c>
      <c r="J644" s="12">
        <v>292.18</v>
      </c>
      <c r="K644" s="12">
        <v>37.14</v>
      </c>
      <c r="L644" s="15" t="s">
        <v>21</v>
      </c>
    </row>
    <row r="645" spans="1:12" x14ac:dyDescent="0.25">
      <c r="A645" s="16">
        <v>2022</v>
      </c>
      <c r="B645" s="17" t="s">
        <v>12</v>
      </c>
      <c r="C645" s="17" t="s">
        <v>25</v>
      </c>
      <c r="D645" s="17" t="s">
        <v>24</v>
      </c>
      <c r="E645" s="18">
        <v>33814</v>
      </c>
      <c r="F645" s="19">
        <v>62983632.700000003</v>
      </c>
      <c r="G645" s="17">
        <v>4.5599999999999996</v>
      </c>
      <c r="H645" s="17">
        <v>57.41</v>
      </c>
      <c r="I645" s="17">
        <v>21.53</v>
      </c>
      <c r="J645" s="17">
        <v>170.67</v>
      </c>
      <c r="K645" s="17">
        <v>72.61</v>
      </c>
      <c r="L645" s="20" t="s">
        <v>27</v>
      </c>
    </row>
    <row r="646" spans="1:12" x14ac:dyDescent="0.25">
      <c r="A646" s="11">
        <v>2022</v>
      </c>
      <c r="B646" s="12" t="s">
        <v>35</v>
      </c>
      <c r="C646" s="12" t="s">
        <v>16</v>
      </c>
      <c r="D646" s="12" t="s">
        <v>14</v>
      </c>
      <c r="E646" s="13">
        <v>5465</v>
      </c>
      <c r="F646" s="14">
        <v>14185149.880000001</v>
      </c>
      <c r="G646" s="12">
        <v>1.97</v>
      </c>
      <c r="H646" s="12">
        <v>73.540000000000006</v>
      </c>
      <c r="I646" s="12">
        <v>45.99</v>
      </c>
      <c r="J646" s="12">
        <v>292.18</v>
      </c>
      <c r="K646" s="12">
        <v>37.14</v>
      </c>
      <c r="L646" s="15" t="s">
        <v>21</v>
      </c>
    </row>
    <row r="647" spans="1:12" x14ac:dyDescent="0.25">
      <c r="A647" s="16">
        <v>2022</v>
      </c>
      <c r="B647" s="17" t="s">
        <v>37</v>
      </c>
      <c r="C647" s="17" t="s">
        <v>22</v>
      </c>
      <c r="D647" s="17" t="s">
        <v>14</v>
      </c>
      <c r="E647" s="18">
        <v>32799</v>
      </c>
      <c r="F647" s="19">
        <v>30084811.850000001</v>
      </c>
      <c r="G647" s="17">
        <v>0.7</v>
      </c>
      <c r="H647" s="17">
        <v>89.07</v>
      </c>
      <c r="I647" s="17">
        <v>45.08</v>
      </c>
      <c r="J647" s="17">
        <v>253.23</v>
      </c>
      <c r="K647" s="17">
        <v>61.38</v>
      </c>
      <c r="L647" s="20" t="s">
        <v>27</v>
      </c>
    </row>
    <row r="648" spans="1:12" x14ac:dyDescent="0.25">
      <c r="A648" s="11">
        <v>2022</v>
      </c>
      <c r="B648" s="12" t="s">
        <v>12</v>
      </c>
      <c r="C648" s="12" t="s">
        <v>22</v>
      </c>
      <c r="D648" s="12" t="s">
        <v>14</v>
      </c>
      <c r="E648" s="13">
        <v>35233</v>
      </c>
      <c r="F648" s="14">
        <v>10414206.279999999</v>
      </c>
      <c r="G648" s="12">
        <v>2.0099999999999998</v>
      </c>
      <c r="H648" s="12">
        <v>84.7</v>
      </c>
      <c r="I648" s="12">
        <v>12.7</v>
      </c>
      <c r="J648" s="12">
        <v>92.35</v>
      </c>
      <c r="K648" s="12">
        <v>51.97</v>
      </c>
      <c r="L648" s="15" t="s">
        <v>21</v>
      </c>
    </row>
    <row r="649" spans="1:12" x14ac:dyDescent="0.25">
      <c r="A649" s="16">
        <v>2022</v>
      </c>
      <c r="B649" s="17" t="s">
        <v>12</v>
      </c>
      <c r="C649" s="17" t="s">
        <v>22</v>
      </c>
      <c r="D649" s="17" t="s">
        <v>14</v>
      </c>
      <c r="E649" s="18">
        <v>35233</v>
      </c>
      <c r="F649" s="19">
        <v>10414206.279999999</v>
      </c>
      <c r="G649" s="17">
        <v>2.0099999999999998</v>
      </c>
      <c r="H649" s="17">
        <v>84.7</v>
      </c>
      <c r="I649" s="17">
        <v>12.7</v>
      </c>
      <c r="J649" s="17">
        <v>92.35</v>
      </c>
      <c r="K649" s="17">
        <v>51.97</v>
      </c>
      <c r="L649" s="20" t="s">
        <v>21</v>
      </c>
    </row>
    <row r="650" spans="1:12" x14ac:dyDescent="0.25">
      <c r="A650" s="11">
        <v>2022</v>
      </c>
      <c r="B650" s="12" t="s">
        <v>35</v>
      </c>
      <c r="C650" s="12" t="s">
        <v>29</v>
      </c>
      <c r="D650" s="12" t="s">
        <v>24</v>
      </c>
      <c r="E650" s="13">
        <v>54159</v>
      </c>
      <c r="F650" s="14">
        <v>43416974.450000003</v>
      </c>
      <c r="G650" s="12">
        <v>5.91</v>
      </c>
      <c r="H650" s="12">
        <v>101.8</v>
      </c>
      <c r="I650" s="12">
        <v>45.27</v>
      </c>
      <c r="J650" s="12">
        <v>232.71</v>
      </c>
      <c r="K650" s="12">
        <v>51.01</v>
      </c>
      <c r="L650" s="15" t="s">
        <v>17</v>
      </c>
    </row>
    <row r="651" spans="1:12" x14ac:dyDescent="0.25">
      <c r="A651" s="16">
        <v>2022</v>
      </c>
      <c r="B651" s="17" t="s">
        <v>12</v>
      </c>
      <c r="C651" s="17" t="s">
        <v>29</v>
      </c>
      <c r="D651" s="17" t="s">
        <v>24</v>
      </c>
      <c r="E651" s="18">
        <v>6800</v>
      </c>
      <c r="F651" s="19">
        <v>6213699.6119999997</v>
      </c>
      <c r="G651" s="17">
        <v>6.1</v>
      </c>
      <c r="H651" s="17">
        <v>52.04</v>
      </c>
      <c r="I651" s="17">
        <v>54.21</v>
      </c>
      <c r="J651" s="17">
        <v>81.93</v>
      </c>
      <c r="K651" s="17">
        <v>52.88</v>
      </c>
      <c r="L651" s="20" t="s">
        <v>19</v>
      </c>
    </row>
    <row r="652" spans="1:12" x14ac:dyDescent="0.25">
      <c r="A652" s="11">
        <v>2022</v>
      </c>
      <c r="B652" s="12" t="s">
        <v>12</v>
      </c>
      <c r="C652" s="12" t="s">
        <v>22</v>
      </c>
      <c r="D652" s="12" t="s">
        <v>14</v>
      </c>
      <c r="E652" s="13">
        <v>35233</v>
      </c>
      <c r="F652" s="14">
        <v>10414206.279999999</v>
      </c>
      <c r="G652" s="12">
        <v>2.0099999999999998</v>
      </c>
      <c r="H652" s="12">
        <v>84.7</v>
      </c>
      <c r="I652" s="12">
        <v>12.7</v>
      </c>
      <c r="J652" s="12">
        <v>92.35</v>
      </c>
      <c r="K652" s="12">
        <v>51.97</v>
      </c>
      <c r="L652" s="15" t="s">
        <v>21</v>
      </c>
    </row>
    <row r="653" spans="1:12" x14ac:dyDescent="0.25">
      <c r="A653" s="16">
        <v>2022</v>
      </c>
      <c r="B653" s="17" t="s">
        <v>35</v>
      </c>
      <c r="C653" s="17" t="s">
        <v>32</v>
      </c>
      <c r="D653" s="17" t="s">
        <v>24</v>
      </c>
      <c r="E653" s="18">
        <v>58156</v>
      </c>
      <c r="F653" s="19">
        <v>45419753.700000003</v>
      </c>
      <c r="G653" s="17">
        <v>4.2799999999999896</v>
      </c>
      <c r="H653" s="17">
        <v>88.11</v>
      </c>
      <c r="I653" s="17">
        <v>44.95</v>
      </c>
      <c r="J653" s="17">
        <v>232.59</v>
      </c>
      <c r="K653" s="17">
        <v>86.74</v>
      </c>
      <c r="L653" s="20" t="s">
        <v>19</v>
      </c>
    </row>
    <row r="654" spans="1:12" x14ac:dyDescent="0.25">
      <c r="A654" s="11">
        <v>2022</v>
      </c>
      <c r="B654" s="12" t="s">
        <v>36</v>
      </c>
      <c r="C654" s="12" t="s">
        <v>16</v>
      </c>
      <c r="D654" s="12" t="s">
        <v>14</v>
      </c>
      <c r="E654" s="13">
        <v>27006</v>
      </c>
      <c r="F654" s="14">
        <v>5136019.5420000004</v>
      </c>
      <c r="G654" s="12">
        <v>0.36</v>
      </c>
      <c r="H654" s="12">
        <v>70.180000000000007</v>
      </c>
      <c r="I654" s="12">
        <v>-0.05</v>
      </c>
      <c r="J654" s="12">
        <v>179.88</v>
      </c>
      <c r="K654" s="12">
        <v>63.62</v>
      </c>
      <c r="L654" s="15" t="s">
        <v>19</v>
      </c>
    </row>
    <row r="655" spans="1:12" x14ac:dyDescent="0.25">
      <c r="A655" s="16">
        <v>2022</v>
      </c>
      <c r="B655" s="17" t="s">
        <v>35</v>
      </c>
      <c r="C655" s="17" t="s">
        <v>16</v>
      </c>
      <c r="D655" s="17" t="s">
        <v>14</v>
      </c>
      <c r="E655" s="18">
        <v>5465</v>
      </c>
      <c r="F655" s="19">
        <v>14185149.880000001</v>
      </c>
      <c r="G655" s="17">
        <v>1.97</v>
      </c>
      <c r="H655" s="17">
        <v>73.540000000000006</v>
      </c>
      <c r="I655" s="17">
        <v>45.99</v>
      </c>
      <c r="J655" s="17">
        <v>292.18</v>
      </c>
      <c r="K655" s="17">
        <v>37.14</v>
      </c>
      <c r="L655" s="20" t="s">
        <v>21</v>
      </c>
    </row>
    <row r="656" spans="1:12" x14ac:dyDescent="0.25">
      <c r="A656" s="11">
        <v>2022</v>
      </c>
      <c r="B656" s="12" t="s">
        <v>36</v>
      </c>
      <c r="C656" s="12" t="s">
        <v>16</v>
      </c>
      <c r="D656" s="12" t="s">
        <v>14</v>
      </c>
      <c r="E656" s="13">
        <v>27006</v>
      </c>
      <c r="F656" s="14">
        <v>5136019.5420000004</v>
      </c>
      <c r="G656" s="12">
        <v>0.36</v>
      </c>
      <c r="H656" s="12">
        <v>70.180000000000007</v>
      </c>
      <c r="I656" s="12">
        <v>-0.05</v>
      </c>
      <c r="J656" s="12">
        <v>179.88</v>
      </c>
      <c r="K656" s="12">
        <v>63.62</v>
      </c>
      <c r="L656" s="15" t="s">
        <v>19</v>
      </c>
    </row>
    <row r="657" spans="1:12" x14ac:dyDescent="0.25">
      <c r="A657" s="16">
        <v>2022</v>
      </c>
      <c r="B657" s="17" t="s">
        <v>12</v>
      </c>
      <c r="C657" s="17" t="s">
        <v>30</v>
      </c>
      <c r="D657" s="17" t="s">
        <v>24</v>
      </c>
      <c r="E657" s="18">
        <v>6787</v>
      </c>
      <c r="F657" s="19">
        <v>52571041.670000002</v>
      </c>
      <c r="G657" s="17">
        <v>4.93</v>
      </c>
      <c r="H657" s="17">
        <v>103.73</v>
      </c>
      <c r="I657" s="17">
        <v>29.49</v>
      </c>
      <c r="J657" s="17">
        <v>274.81</v>
      </c>
      <c r="K657" s="17">
        <v>47.7</v>
      </c>
      <c r="L657" s="20" t="s">
        <v>17</v>
      </c>
    </row>
    <row r="658" spans="1:12" x14ac:dyDescent="0.25">
      <c r="A658" s="11">
        <v>2022</v>
      </c>
      <c r="B658" s="12" t="s">
        <v>37</v>
      </c>
      <c r="C658" s="12" t="s">
        <v>28</v>
      </c>
      <c r="D658" s="12" t="s">
        <v>24</v>
      </c>
      <c r="E658" s="13">
        <v>23653</v>
      </c>
      <c r="F658" s="14">
        <v>24085328.149999999</v>
      </c>
      <c r="G658" s="12">
        <v>5.64</v>
      </c>
      <c r="H658" s="12">
        <v>87.55</v>
      </c>
      <c r="I658" s="12">
        <v>41.3</v>
      </c>
      <c r="J658" s="12">
        <v>170.64</v>
      </c>
      <c r="K658" s="12">
        <v>46.15</v>
      </c>
      <c r="L658" s="15" t="s">
        <v>27</v>
      </c>
    </row>
    <row r="659" spans="1:12" x14ac:dyDescent="0.25">
      <c r="A659" s="16">
        <v>2022</v>
      </c>
      <c r="B659" s="17" t="s">
        <v>37</v>
      </c>
      <c r="C659" s="17" t="s">
        <v>16</v>
      </c>
      <c r="D659" s="17" t="s">
        <v>14</v>
      </c>
      <c r="E659" s="18">
        <v>16902</v>
      </c>
      <c r="F659" s="19">
        <v>45919818.68</v>
      </c>
      <c r="G659" s="17">
        <v>-0.25</v>
      </c>
      <c r="H659" s="17">
        <v>68.67</v>
      </c>
      <c r="I659" s="17">
        <v>2.5299999999999998</v>
      </c>
      <c r="J659" s="17">
        <v>66.34</v>
      </c>
      <c r="K659" s="17">
        <v>47.23</v>
      </c>
      <c r="L659" s="20" t="s">
        <v>15</v>
      </c>
    </row>
    <row r="660" spans="1:12" x14ac:dyDescent="0.25">
      <c r="A660" s="11">
        <v>2022</v>
      </c>
      <c r="B660" s="12" t="s">
        <v>35</v>
      </c>
      <c r="C660" s="12" t="s">
        <v>33</v>
      </c>
      <c r="D660" s="12" t="s">
        <v>24</v>
      </c>
      <c r="E660" s="13">
        <v>33117</v>
      </c>
      <c r="F660" s="14">
        <v>5432435.60399999</v>
      </c>
      <c r="G660" s="12">
        <v>6.58</v>
      </c>
      <c r="H660" s="12">
        <v>83.47</v>
      </c>
      <c r="I660" s="12">
        <v>38.520000000000003</v>
      </c>
      <c r="J660" s="12">
        <v>282.72000000000003</v>
      </c>
      <c r="K660" s="12">
        <v>86.09</v>
      </c>
      <c r="L660" s="15" t="s">
        <v>15</v>
      </c>
    </row>
    <row r="661" spans="1:12" x14ac:dyDescent="0.25">
      <c r="A661" s="16">
        <v>2022</v>
      </c>
      <c r="B661" s="17" t="s">
        <v>36</v>
      </c>
      <c r="C661" s="17" t="s">
        <v>23</v>
      </c>
      <c r="D661" s="17" t="s">
        <v>24</v>
      </c>
      <c r="E661" s="18">
        <v>49871</v>
      </c>
      <c r="F661" s="19">
        <v>8902985.2439999897</v>
      </c>
      <c r="G661" s="17">
        <v>6.82</v>
      </c>
      <c r="H661" s="17">
        <v>48.95</v>
      </c>
      <c r="I661" s="17">
        <v>18.68</v>
      </c>
      <c r="J661" s="17">
        <v>240.7</v>
      </c>
      <c r="K661" s="17">
        <v>53.91</v>
      </c>
      <c r="L661" s="20" t="s">
        <v>21</v>
      </c>
    </row>
    <row r="662" spans="1:12" x14ac:dyDescent="0.25">
      <c r="A662" s="11">
        <v>2022</v>
      </c>
      <c r="B662" s="12" t="s">
        <v>12</v>
      </c>
      <c r="C662" s="12" t="s">
        <v>23</v>
      </c>
      <c r="D662" s="12" t="s">
        <v>24</v>
      </c>
      <c r="E662" s="13">
        <v>41857</v>
      </c>
      <c r="F662" s="14">
        <v>71129083.790000007</v>
      </c>
      <c r="G662" s="12">
        <v>4.8599999999999897</v>
      </c>
      <c r="H662" s="12">
        <v>73.91</v>
      </c>
      <c r="I662" s="12">
        <v>45.53</v>
      </c>
      <c r="J662" s="12">
        <v>173.38</v>
      </c>
      <c r="K662" s="12">
        <v>53.59</v>
      </c>
      <c r="L662" s="15" t="s">
        <v>27</v>
      </c>
    </row>
    <row r="663" spans="1:12" x14ac:dyDescent="0.25">
      <c r="A663" s="16">
        <v>2022</v>
      </c>
      <c r="B663" s="17" t="s">
        <v>35</v>
      </c>
      <c r="C663" s="17" t="s">
        <v>25</v>
      </c>
      <c r="D663" s="17" t="s">
        <v>24</v>
      </c>
      <c r="E663" s="18">
        <v>15007</v>
      </c>
      <c r="F663" s="19">
        <v>56176071.659999996</v>
      </c>
      <c r="G663" s="17">
        <v>6.81</v>
      </c>
      <c r="H663" s="17">
        <v>83.96</v>
      </c>
      <c r="I663" s="17">
        <v>44.71</v>
      </c>
      <c r="J663" s="17">
        <v>258.98</v>
      </c>
      <c r="K663" s="17">
        <v>59.6</v>
      </c>
      <c r="L663" s="20" t="s">
        <v>17</v>
      </c>
    </row>
    <row r="664" spans="1:12" x14ac:dyDescent="0.25">
      <c r="A664" s="11">
        <v>2022</v>
      </c>
      <c r="B664" s="12" t="s">
        <v>36</v>
      </c>
      <c r="C664" s="12" t="s">
        <v>31</v>
      </c>
      <c r="D664" s="12" t="s">
        <v>24</v>
      </c>
      <c r="E664" s="13">
        <v>55071</v>
      </c>
      <c r="F664" s="14">
        <v>52340365.75</v>
      </c>
      <c r="G664" s="12">
        <v>3.6</v>
      </c>
      <c r="H664" s="12">
        <v>55.45</v>
      </c>
      <c r="I664" s="12">
        <v>51.49</v>
      </c>
      <c r="J664" s="12">
        <v>279.27</v>
      </c>
      <c r="K664" s="12">
        <v>73.87</v>
      </c>
      <c r="L664" s="15" t="s">
        <v>27</v>
      </c>
    </row>
    <row r="665" spans="1:12" x14ac:dyDescent="0.25">
      <c r="A665" s="16">
        <v>2022</v>
      </c>
      <c r="B665" s="17" t="s">
        <v>37</v>
      </c>
      <c r="C665" s="17" t="s">
        <v>26</v>
      </c>
      <c r="D665" s="17" t="s">
        <v>24</v>
      </c>
      <c r="E665" s="18">
        <v>15691</v>
      </c>
      <c r="F665" s="19">
        <v>21823040.170000002</v>
      </c>
      <c r="G665" s="17">
        <v>3.07</v>
      </c>
      <c r="H665" s="17">
        <v>42.69</v>
      </c>
      <c r="I665" s="17">
        <v>42.69</v>
      </c>
      <c r="J665" s="17">
        <v>135.63</v>
      </c>
      <c r="K665" s="17">
        <v>72.27</v>
      </c>
      <c r="L665" s="20" t="s">
        <v>21</v>
      </c>
    </row>
    <row r="666" spans="1:12" x14ac:dyDescent="0.25">
      <c r="A666" s="11">
        <v>2022</v>
      </c>
      <c r="B666" s="12" t="s">
        <v>36</v>
      </c>
      <c r="C666" s="12" t="s">
        <v>18</v>
      </c>
      <c r="D666" s="12" t="s">
        <v>14</v>
      </c>
      <c r="E666" s="13">
        <v>35658</v>
      </c>
      <c r="F666" s="14">
        <v>14607494.42</v>
      </c>
      <c r="G666" s="12">
        <v>1.18</v>
      </c>
      <c r="H666" s="12">
        <v>33.54</v>
      </c>
      <c r="I666" s="12">
        <v>9.9600000000000009</v>
      </c>
      <c r="J666" s="12">
        <v>232.38</v>
      </c>
      <c r="K666" s="12">
        <v>66.959999999999994</v>
      </c>
      <c r="L666" s="15" t="s">
        <v>15</v>
      </c>
    </row>
    <row r="667" spans="1:12" x14ac:dyDescent="0.25">
      <c r="A667" s="16">
        <v>2022</v>
      </c>
      <c r="B667" s="17" t="s">
        <v>35</v>
      </c>
      <c r="C667" s="17" t="s">
        <v>32</v>
      </c>
      <c r="D667" s="17" t="s">
        <v>24</v>
      </c>
      <c r="E667" s="18">
        <v>58156</v>
      </c>
      <c r="F667" s="19">
        <v>45419753.700000003</v>
      </c>
      <c r="G667" s="17">
        <v>4.2799999999999896</v>
      </c>
      <c r="H667" s="17">
        <v>88.11</v>
      </c>
      <c r="I667" s="17">
        <v>44.95</v>
      </c>
      <c r="J667" s="17">
        <v>232.59</v>
      </c>
      <c r="K667" s="17">
        <v>86.74</v>
      </c>
      <c r="L667" s="20" t="s">
        <v>19</v>
      </c>
    </row>
    <row r="668" spans="1:12" x14ac:dyDescent="0.25">
      <c r="A668" s="11">
        <v>2022</v>
      </c>
      <c r="B668" s="12" t="s">
        <v>12</v>
      </c>
      <c r="C668" s="12" t="s">
        <v>25</v>
      </c>
      <c r="D668" s="12" t="s">
        <v>24</v>
      </c>
      <c r="E668" s="13">
        <v>33814</v>
      </c>
      <c r="F668" s="14">
        <v>62983632.700000003</v>
      </c>
      <c r="G668" s="12">
        <v>4.5599999999999996</v>
      </c>
      <c r="H668" s="12">
        <v>57.41</v>
      </c>
      <c r="I668" s="12">
        <v>21.53</v>
      </c>
      <c r="J668" s="12">
        <v>170.67</v>
      </c>
      <c r="K668" s="12">
        <v>72.61</v>
      </c>
      <c r="L668" s="15" t="s">
        <v>27</v>
      </c>
    </row>
    <row r="669" spans="1:12" x14ac:dyDescent="0.25">
      <c r="A669" s="16">
        <v>2022</v>
      </c>
      <c r="B669" s="17" t="s">
        <v>35</v>
      </c>
      <c r="C669" s="17" t="s">
        <v>26</v>
      </c>
      <c r="D669" s="17" t="s">
        <v>24</v>
      </c>
      <c r="E669" s="18">
        <v>10585</v>
      </c>
      <c r="F669" s="19">
        <v>29685804.23</v>
      </c>
      <c r="G669" s="17">
        <v>3.51</v>
      </c>
      <c r="H669" s="17">
        <v>93.42</v>
      </c>
      <c r="I669" s="17">
        <v>38.630000000000003</v>
      </c>
      <c r="J669" s="17">
        <v>171.64</v>
      </c>
      <c r="K669" s="17">
        <v>87.93</v>
      </c>
      <c r="L669" s="20" t="s">
        <v>27</v>
      </c>
    </row>
    <row r="670" spans="1:12" x14ac:dyDescent="0.25">
      <c r="A670" s="11">
        <v>2022</v>
      </c>
      <c r="B670" s="12" t="s">
        <v>37</v>
      </c>
      <c r="C670" s="12" t="s">
        <v>30</v>
      </c>
      <c r="D670" s="12" t="s">
        <v>24</v>
      </c>
      <c r="E670" s="13">
        <v>47629</v>
      </c>
      <c r="F670" s="14">
        <v>40258147.689999998</v>
      </c>
      <c r="G670" s="12">
        <v>2.59</v>
      </c>
      <c r="H670" s="12">
        <v>62.4</v>
      </c>
      <c r="I670" s="12">
        <v>46.2</v>
      </c>
      <c r="J670" s="12">
        <v>174.55</v>
      </c>
      <c r="K670" s="12">
        <v>88.86</v>
      </c>
      <c r="L670" s="15" t="s">
        <v>17</v>
      </c>
    </row>
    <row r="671" spans="1:12" x14ac:dyDescent="0.25">
      <c r="A671" s="16">
        <v>2022</v>
      </c>
      <c r="B671" s="17" t="s">
        <v>35</v>
      </c>
      <c r="C671" s="17" t="s">
        <v>30</v>
      </c>
      <c r="D671" s="17" t="s">
        <v>24</v>
      </c>
      <c r="E671" s="18">
        <v>17217</v>
      </c>
      <c r="F671" s="19">
        <v>31929959.75</v>
      </c>
      <c r="G671" s="17">
        <v>3.68</v>
      </c>
      <c r="H671" s="17">
        <v>41.36</v>
      </c>
      <c r="I671" s="17">
        <v>32</v>
      </c>
      <c r="J671" s="17">
        <v>291.72000000000003</v>
      </c>
      <c r="K671" s="17">
        <v>45.78</v>
      </c>
      <c r="L671" s="20" t="s">
        <v>19</v>
      </c>
    </row>
    <row r="672" spans="1:12" x14ac:dyDescent="0.25">
      <c r="A672" s="11">
        <v>2022</v>
      </c>
      <c r="B672" s="12" t="s">
        <v>36</v>
      </c>
      <c r="C672" s="12" t="s">
        <v>30</v>
      </c>
      <c r="D672" s="12" t="s">
        <v>24</v>
      </c>
      <c r="E672" s="13">
        <v>16005</v>
      </c>
      <c r="F672" s="14">
        <v>41833223.630000003</v>
      </c>
      <c r="G672" s="12">
        <v>6.71</v>
      </c>
      <c r="H672" s="12">
        <v>88.73</v>
      </c>
      <c r="I672" s="12">
        <v>39.93</v>
      </c>
      <c r="J672" s="12">
        <v>281.7</v>
      </c>
      <c r="K672" s="12">
        <v>86.82</v>
      </c>
      <c r="L672" s="15" t="s">
        <v>19</v>
      </c>
    </row>
    <row r="673" spans="1:12" x14ac:dyDescent="0.25">
      <c r="A673" s="16">
        <v>2022</v>
      </c>
      <c r="B673" s="17" t="s">
        <v>35</v>
      </c>
      <c r="C673" s="17" t="s">
        <v>23</v>
      </c>
      <c r="D673" s="17" t="s">
        <v>24</v>
      </c>
      <c r="E673" s="18">
        <v>46798</v>
      </c>
      <c r="F673" s="19">
        <v>34010964.590000004</v>
      </c>
      <c r="G673" s="17">
        <v>2.84</v>
      </c>
      <c r="H673" s="17">
        <v>95.15</v>
      </c>
      <c r="I673" s="17">
        <v>47.23</v>
      </c>
      <c r="J673" s="17">
        <v>287.88</v>
      </c>
      <c r="K673" s="17">
        <v>87.65</v>
      </c>
      <c r="L673" s="20" t="s">
        <v>19</v>
      </c>
    </row>
    <row r="674" spans="1:12" x14ac:dyDescent="0.25">
      <c r="A674" s="11">
        <v>2022</v>
      </c>
      <c r="B674" s="12" t="s">
        <v>12</v>
      </c>
      <c r="C674" s="12" t="s">
        <v>31</v>
      </c>
      <c r="D674" s="12" t="s">
        <v>24</v>
      </c>
      <c r="E674" s="13">
        <v>34677</v>
      </c>
      <c r="F674" s="14">
        <v>15661456.58</v>
      </c>
      <c r="G674" s="12">
        <v>6.11</v>
      </c>
      <c r="H674" s="12">
        <v>101.07</v>
      </c>
      <c r="I674" s="12">
        <v>48.06</v>
      </c>
      <c r="J674" s="12">
        <v>165.76</v>
      </c>
      <c r="K674" s="12">
        <v>55.31</v>
      </c>
      <c r="L674" s="15" t="s">
        <v>17</v>
      </c>
    </row>
    <row r="675" spans="1:12" x14ac:dyDescent="0.25">
      <c r="A675" s="16">
        <v>2022</v>
      </c>
      <c r="B675" s="17" t="s">
        <v>37</v>
      </c>
      <c r="C675" s="17" t="s">
        <v>16</v>
      </c>
      <c r="D675" s="17" t="s">
        <v>14</v>
      </c>
      <c r="E675" s="18">
        <v>16902</v>
      </c>
      <c r="F675" s="19">
        <v>45919818.68</v>
      </c>
      <c r="G675" s="17">
        <v>-0.25</v>
      </c>
      <c r="H675" s="17">
        <v>68.67</v>
      </c>
      <c r="I675" s="17">
        <v>2.5299999999999998</v>
      </c>
      <c r="J675" s="17">
        <v>66.34</v>
      </c>
      <c r="K675" s="17">
        <v>47.23</v>
      </c>
      <c r="L675" s="20" t="s">
        <v>15</v>
      </c>
    </row>
    <row r="676" spans="1:12" x14ac:dyDescent="0.25">
      <c r="A676" s="11">
        <v>2022</v>
      </c>
      <c r="B676" s="12" t="s">
        <v>37</v>
      </c>
      <c r="C676" s="12" t="s">
        <v>16</v>
      </c>
      <c r="D676" s="12" t="s">
        <v>14</v>
      </c>
      <c r="E676" s="13">
        <v>16902</v>
      </c>
      <c r="F676" s="14">
        <v>45919818.68</v>
      </c>
      <c r="G676" s="12">
        <v>-0.25</v>
      </c>
      <c r="H676" s="12">
        <v>68.67</v>
      </c>
      <c r="I676" s="12">
        <v>2.5299999999999998</v>
      </c>
      <c r="J676" s="12">
        <v>66.34</v>
      </c>
      <c r="K676" s="12">
        <v>47.23</v>
      </c>
      <c r="L676" s="15" t="s">
        <v>15</v>
      </c>
    </row>
    <row r="677" spans="1:12" x14ac:dyDescent="0.25">
      <c r="A677" s="16">
        <v>2022</v>
      </c>
      <c r="B677" s="17" t="s">
        <v>35</v>
      </c>
      <c r="C677" s="17" t="s">
        <v>26</v>
      </c>
      <c r="D677" s="17" t="s">
        <v>24</v>
      </c>
      <c r="E677" s="18">
        <v>10585</v>
      </c>
      <c r="F677" s="19">
        <v>29685804.23</v>
      </c>
      <c r="G677" s="17">
        <v>3.51</v>
      </c>
      <c r="H677" s="17">
        <v>93.42</v>
      </c>
      <c r="I677" s="17">
        <v>38.630000000000003</v>
      </c>
      <c r="J677" s="17">
        <v>171.64</v>
      </c>
      <c r="K677" s="17">
        <v>87.93</v>
      </c>
      <c r="L677" s="20" t="s">
        <v>27</v>
      </c>
    </row>
    <row r="678" spans="1:12" x14ac:dyDescent="0.25">
      <c r="A678" s="11">
        <v>2022</v>
      </c>
      <c r="B678" s="12" t="s">
        <v>35</v>
      </c>
      <c r="C678" s="12" t="s">
        <v>23</v>
      </c>
      <c r="D678" s="12" t="s">
        <v>24</v>
      </c>
      <c r="E678" s="13">
        <v>46798</v>
      </c>
      <c r="F678" s="14">
        <v>34010964.590000004</v>
      </c>
      <c r="G678" s="12">
        <v>2.84</v>
      </c>
      <c r="H678" s="12">
        <v>95.15</v>
      </c>
      <c r="I678" s="12">
        <v>47.23</v>
      </c>
      <c r="J678" s="12">
        <v>287.88</v>
      </c>
      <c r="K678" s="12">
        <v>87.65</v>
      </c>
      <c r="L678" s="15" t="s">
        <v>19</v>
      </c>
    </row>
    <row r="679" spans="1:12" x14ac:dyDescent="0.25">
      <c r="A679" s="16">
        <v>2022</v>
      </c>
      <c r="B679" s="17" t="s">
        <v>35</v>
      </c>
      <c r="C679" s="17" t="s">
        <v>22</v>
      </c>
      <c r="D679" s="17" t="s">
        <v>14</v>
      </c>
      <c r="E679" s="18">
        <v>33806</v>
      </c>
      <c r="F679" s="19">
        <v>23699378.708999999</v>
      </c>
      <c r="G679" s="17">
        <v>-0.23</v>
      </c>
      <c r="H679" s="17">
        <v>77.31</v>
      </c>
      <c r="I679" s="17">
        <v>47.51</v>
      </c>
      <c r="J679" s="17">
        <v>129.69999999999999</v>
      </c>
      <c r="K679" s="17">
        <v>78.41</v>
      </c>
      <c r="L679" s="20" t="s">
        <v>21</v>
      </c>
    </row>
    <row r="680" spans="1:12" x14ac:dyDescent="0.25">
      <c r="A680" s="11">
        <v>2022</v>
      </c>
      <c r="B680" s="12" t="s">
        <v>12</v>
      </c>
      <c r="C680" s="12" t="s">
        <v>13</v>
      </c>
      <c r="D680" s="12" t="s">
        <v>14</v>
      </c>
      <c r="E680" s="13">
        <v>23678</v>
      </c>
      <c r="F680" s="14">
        <v>23302026.23</v>
      </c>
      <c r="G680" s="12">
        <v>0.57999999999999996</v>
      </c>
      <c r="H680" s="12">
        <v>45.61</v>
      </c>
      <c r="I680" s="12">
        <v>43.79</v>
      </c>
      <c r="J680" s="12">
        <v>156.56</v>
      </c>
      <c r="K680" s="12">
        <v>72.06</v>
      </c>
      <c r="L680" s="15" t="s">
        <v>27</v>
      </c>
    </row>
    <row r="681" spans="1:12" x14ac:dyDescent="0.25">
      <c r="A681" s="16">
        <v>2023</v>
      </c>
      <c r="B681" s="17" t="s">
        <v>12</v>
      </c>
      <c r="C681" s="17" t="s">
        <v>13</v>
      </c>
      <c r="D681" s="17" t="s">
        <v>14</v>
      </c>
      <c r="E681" s="18">
        <v>40947</v>
      </c>
      <c r="F681" s="19">
        <v>29431350.050000001</v>
      </c>
      <c r="G681" s="17">
        <v>2.29</v>
      </c>
      <c r="H681" s="17">
        <v>31.64</v>
      </c>
      <c r="I681" s="17">
        <v>20.82</v>
      </c>
      <c r="J681" s="17">
        <v>272.01</v>
      </c>
      <c r="K681" s="17">
        <v>80.790000000000006</v>
      </c>
      <c r="L681" s="20" t="s">
        <v>27</v>
      </c>
    </row>
    <row r="682" spans="1:12" x14ac:dyDescent="0.25">
      <c r="A682" s="11">
        <v>2023</v>
      </c>
      <c r="B682" s="12" t="s">
        <v>12</v>
      </c>
      <c r="C682" s="12" t="s">
        <v>16</v>
      </c>
      <c r="D682" s="12" t="s">
        <v>14</v>
      </c>
      <c r="E682" s="13">
        <v>14664</v>
      </c>
      <c r="F682" s="14">
        <v>15195950.99</v>
      </c>
      <c r="G682" s="12">
        <v>1.66</v>
      </c>
      <c r="H682" s="12">
        <v>62.66</v>
      </c>
      <c r="I682" s="12">
        <v>1.47</v>
      </c>
      <c r="J682" s="12">
        <v>171.98</v>
      </c>
      <c r="K682" s="12">
        <v>74.11</v>
      </c>
      <c r="L682" s="15" t="s">
        <v>21</v>
      </c>
    </row>
    <row r="683" spans="1:12" x14ac:dyDescent="0.25">
      <c r="A683" s="16">
        <v>2023</v>
      </c>
      <c r="B683" s="17" t="s">
        <v>12</v>
      </c>
      <c r="C683" s="17" t="s">
        <v>18</v>
      </c>
      <c r="D683" s="17" t="s">
        <v>14</v>
      </c>
      <c r="E683" s="18">
        <v>43817</v>
      </c>
      <c r="F683" s="19">
        <v>24176526.140000001</v>
      </c>
      <c r="G683" s="17">
        <v>2.4500000000000002</v>
      </c>
      <c r="H683" s="17">
        <v>48.62</v>
      </c>
      <c r="I683" s="17">
        <v>20.28</v>
      </c>
      <c r="J683" s="17">
        <v>175.27</v>
      </c>
      <c r="K683" s="17">
        <v>73.89</v>
      </c>
      <c r="L683" s="20" t="s">
        <v>27</v>
      </c>
    </row>
    <row r="684" spans="1:12" x14ac:dyDescent="0.25">
      <c r="A684" s="11">
        <v>2023</v>
      </c>
      <c r="B684" s="12" t="s">
        <v>12</v>
      </c>
      <c r="C684" s="12" t="s">
        <v>20</v>
      </c>
      <c r="D684" s="12" t="s">
        <v>14</v>
      </c>
      <c r="E684" s="13">
        <v>41459</v>
      </c>
      <c r="F684" s="14">
        <v>13687954.880000001</v>
      </c>
      <c r="G684" s="12">
        <v>-0.11</v>
      </c>
      <c r="H684" s="12">
        <v>62.18</v>
      </c>
      <c r="I684" s="12">
        <v>11.77</v>
      </c>
      <c r="J684" s="12">
        <v>287.5</v>
      </c>
      <c r="K684" s="12">
        <v>41.54</v>
      </c>
      <c r="L684" s="15" t="s">
        <v>17</v>
      </c>
    </row>
    <row r="685" spans="1:12" x14ac:dyDescent="0.25">
      <c r="A685" s="16">
        <v>2023</v>
      </c>
      <c r="B685" s="17" t="s">
        <v>12</v>
      </c>
      <c r="C685" s="17" t="s">
        <v>22</v>
      </c>
      <c r="D685" s="17" t="s">
        <v>14</v>
      </c>
      <c r="E685" s="18">
        <v>32918</v>
      </c>
      <c r="F685" s="19">
        <v>22481075.41</v>
      </c>
      <c r="G685" s="17">
        <v>1.86</v>
      </c>
      <c r="H685" s="17">
        <v>81.72</v>
      </c>
      <c r="I685" s="17">
        <v>33.4</v>
      </c>
      <c r="J685" s="17">
        <v>108.49</v>
      </c>
      <c r="K685" s="17">
        <v>65.459999999999994</v>
      </c>
      <c r="L685" s="20" t="s">
        <v>21</v>
      </c>
    </row>
    <row r="686" spans="1:12" x14ac:dyDescent="0.25">
      <c r="A686" s="11">
        <v>2023</v>
      </c>
      <c r="B686" s="12" t="s">
        <v>12</v>
      </c>
      <c r="C686" s="12" t="s">
        <v>23</v>
      </c>
      <c r="D686" s="12" t="s">
        <v>24</v>
      </c>
      <c r="E686" s="13">
        <v>42266</v>
      </c>
      <c r="F686" s="14">
        <v>25950100.260000002</v>
      </c>
      <c r="G686" s="12">
        <v>6.02</v>
      </c>
      <c r="H686" s="12">
        <v>55.39</v>
      </c>
      <c r="I686" s="12">
        <v>39.53</v>
      </c>
      <c r="J686" s="12">
        <v>262.25</v>
      </c>
      <c r="K686" s="12">
        <v>45.63</v>
      </c>
      <c r="L686" s="15" t="s">
        <v>15</v>
      </c>
    </row>
    <row r="687" spans="1:12" x14ac:dyDescent="0.25">
      <c r="A687" s="16">
        <v>2023</v>
      </c>
      <c r="B687" s="17" t="s">
        <v>12</v>
      </c>
      <c r="C687" s="17" t="s">
        <v>25</v>
      </c>
      <c r="D687" s="17" t="s">
        <v>24</v>
      </c>
      <c r="E687" s="18">
        <v>35503</v>
      </c>
      <c r="F687" s="19">
        <v>31844795.27</v>
      </c>
      <c r="G687" s="17">
        <v>3.87</v>
      </c>
      <c r="H687" s="17">
        <v>85.47</v>
      </c>
      <c r="I687" s="17">
        <v>48.17</v>
      </c>
      <c r="J687" s="17">
        <v>262.83999999999997</v>
      </c>
      <c r="K687" s="17">
        <v>68</v>
      </c>
      <c r="L687" s="20" t="s">
        <v>15</v>
      </c>
    </row>
    <row r="688" spans="1:12" x14ac:dyDescent="0.25">
      <c r="A688" s="11">
        <v>2023</v>
      </c>
      <c r="B688" s="12" t="s">
        <v>12</v>
      </c>
      <c r="C688" s="12" t="s">
        <v>26</v>
      </c>
      <c r="D688" s="12" t="s">
        <v>24</v>
      </c>
      <c r="E688" s="13">
        <v>47694</v>
      </c>
      <c r="F688" s="14">
        <v>18903891.32</v>
      </c>
      <c r="G688" s="12">
        <v>5.9</v>
      </c>
      <c r="H688" s="12">
        <v>62.48</v>
      </c>
      <c r="I688" s="12">
        <v>29.12</v>
      </c>
      <c r="J688" s="12">
        <v>227.77</v>
      </c>
      <c r="K688" s="12">
        <v>87.07</v>
      </c>
      <c r="L688" s="15" t="s">
        <v>27</v>
      </c>
    </row>
    <row r="689" spans="1:12" x14ac:dyDescent="0.25">
      <c r="A689" s="16">
        <v>2023</v>
      </c>
      <c r="B689" s="17" t="s">
        <v>12</v>
      </c>
      <c r="C689" s="17" t="s">
        <v>28</v>
      </c>
      <c r="D689" s="17" t="s">
        <v>24</v>
      </c>
      <c r="E689" s="18">
        <v>36500</v>
      </c>
      <c r="F689" s="19">
        <v>11340925.859999999</v>
      </c>
      <c r="G689" s="17">
        <v>2.86</v>
      </c>
      <c r="H689" s="17">
        <v>98.22</v>
      </c>
      <c r="I689" s="17">
        <v>46.72</v>
      </c>
      <c r="J689" s="17">
        <v>177.9</v>
      </c>
      <c r="K689" s="17">
        <v>65.83</v>
      </c>
      <c r="L689" s="20" t="s">
        <v>15</v>
      </c>
    </row>
    <row r="690" spans="1:12" x14ac:dyDescent="0.25">
      <c r="A690" s="11">
        <v>2023</v>
      </c>
      <c r="B690" s="12" t="s">
        <v>12</v>
      </c>
      <c r="C690" s="12" t="s">
        <v>29</v>
      </c>
      <c r="D690" s="12" t="s">
        <v>24</v>
      </c>
      <c r="E690" s="13">
        <v>31535</v>
      </c>
      <c r="F690" s="14">
        <v>75369161.280000001</v>
      </c>
      <c r="G690" s="12">
        <v>4.8499999999999996</v>
      </c>
      <c r="H690" s="12">
        <v>103.92</v>
      </c>
      <c r="I690" s="12">
        <v>6.42</v>
      </c>
      <c r="J690" s="12">
        <v>256.02999999999997</v>
      </c>
      <c r="K690" s="12">
        <v>54.7</v>
      </c>
      <c r="L690" s="15" t="s">
        <v>15</v>
      </c>
    </row>
    <row r="691" spans="1:12" x14ac:dyDescent="0.25">
      <c r="A691" s="16">
        <v>2023</v>
      </c>
      <c r="B691" s="17" t="s">
        <v>12</v>
      </c>
      <c r="C691" s="17" t="s">
        <v>30</v>
      </c>
      <c r="D691" s="17" t="s">
        <v>24</v>
      </c>
      <c r="E691" s="18">
        <v>25428</v>
      </c>
      <c r="F691" s="19">
        <v>41184238.579999998</v>
      </c>
      <c r="G691" s="17">
        <v>4.9000000000000004</v>
      </c>
      <c r="H691" s="17">
        <v>78.09</v>
      </c>
      <c r="I691" s="17">
        <v>24.18</v>
      </c>
      <c r="J691" s="17">
        <v>262.01</v>
      </c>
      <c r="K691" s="17">
        <v>54.8</v>
      </c>
      <c r="L691" s="20" t="s">
        <v>21</v>
      </c>
    </row>
    <row r="692" spans="1:12" x14ac:dyDescent="0.25">
      <c r="A692" s="11">
        <v>2023</v>
      </c>
      <c r="B692" s="12" t="s">
        <v>12</v>
      </c>
      <c r="C692" s="12" t="s">
        <v>31</v>
      </c>
      <c r="D692" s="12" t="s">
        <v>24</v>
      </c>
      <c r="E692" s="13">
        <v>58459</v>
      </c>
      <c r="F692" s="14">
        <v>6197608.4639999997</v>
      </c>
      <c r="G692" s="12">
        <v>5.29</v>
      </c>
      <c r="H692" s="12">
        <v>65.56</v>
      </c>
      <c r="I692" s="12">
        <v>52.82</v>
      </c>
      <c r="J692" s="12">
        <v>231.91</v>
      </c>
      <c r="K692" s="12">
        <v>69.150000000000006</v>
      </c>
      <c r="L692" s="15" t="s">
        <v>19</v>
      </c>
    </row>
    <row r="693" spans="1:12" x14ac:dyDescent="0.25">
      <c r="A693" s="16">
        <v>2023</v>
      </c>
      <c r="B693" s="17" t="s">
        <v>12</v>
      </c>
      <c r="C693" s="17" t="s">
        <v>32</v>
      </c>
      <c r="D693" s="17" t="s">
        <v>24</v>
      </c>
      <c r="E693" s="18">
        <v>39916</v>
      </c>
      <c r="F693" s="19">
        <v>30964782.02</v>
      </c>
      <c r="G693" s="17">
        <v>5.5299999999999896</v>
      </c>
      <c r="H693" s="17">
        <v>47.84</v>
      </c>
      <c r="I693" s="17">
        <v>15.23</v>
      </c>
      <c r="J693" s="17">
        <v>260.8</v>
      </c>
      <c r="K693" s="17">
        <v>82.88</v>
      </c>
      <c r="L693" s="20" t="s">
        <v>19</v>
      </c>
    </row>
    <row r="694" spans="1:12" x14ac:dyDescent="0.25">
      <c r="A694" s="11">
        <v>2023</v>
      </c>
      <c r="B694" s="12" t="s">
        <v>12</v>
      </c>
      <c r="C694" s="12" t="s">
        <v>33</v>
      </c>
      <c r="D694" s="12" t="s">
        <v>24</v>
      </c>
      <c r="E694" s="13">
        <v>56785</v>
      </c>
      <c r="F694" s="14">
        <v>37101918.729999997</v>
      </c>
      <c r="G694" s="12">
        <v>4.21</v>
      </c>
      <c r="H694" s="12">
        <v>67.62</v>
      </c>
      <c r="I694" s="12">
        <v>43.79</v>
      </c>
      <c r="J694" s="12">
        <v>240.21</v>
      </c>
      <c r="K694" s="12">
        <v>75.959999999999994</v>
      </c>
      <c r="L694" s="15" t="s">
        <v>15</v>
      </c>
    </row>
    <row r="695" spans="1:12" x14ac:dyDescent="0.25">
      <c r="A695" s="16">
        <v>2023</v>
      </c>
      <c r="B695" s="17" t="s">
        <v>12</v>
      </c>
      <c r="C695" s="17" t="s">
        <v>34</v>
      </c>
      <c r="D695" s="17" t="s">
        <v>24</v>
      </c>
      <c r="E695" s="18">
        <v>11658</v>
      </c>
      <c r="F695" s="19">
        <v>14130688.68</v>
      </c>
      <c r="G695" s="17">
        <v>4.8099999999999996</v>
      </c>
      <c r="H695" s="17">
        <v>64.150000000000006</v>
      </c>
      <c r="I695" s="17">
        <v>50.51</v>
      </c>
      <c r="J695" s="17">
        <v>117.92</v>
      </c>
      <c r="K695" s="17">
        <v>62.56</v>
      </c>
      <c r="L695" s="20" t="s">
        <v>27</v>
      </c>
    </row>
    <row r="696" spans="1:12" x14ac:dyDescent="0.25">
      <c r="A696" s="11">
        <v>2023</v>
      </c>
      <c r="B696" s="12" t="s">
        <v>35</v>
      </c>
      <c r="C696" s="12" t="s">
        <v>13</v>
      </c>
      <c r="D696" s="12" t="s">
        <v>14</v>
      </c>
      <c r="E696" s="13">
        <v>28445</v>
      </c>
      <c r="F696" s="14">
        <v>23846107.199999999</v>
      </c>
      <c r="G696" s="12">
        <v>3.99</v>
      </c>
      <c r="H696" s="12">
        <v>46.8</v>
      </c>
      <c r="I696" s="12">
        <v>37.909999999999997</v>
      </c>
      <c r="J696" s="12">
        <v>175.6</v>
      </c>
      <c r="K696" s="12">
        <v>66.599999999999994</v>
      </c>
      <c r="L696" s="15" t="s">
        <v>27</v>
      </c>
    </row>
    <row r="697" spans="1:12" x14ac:dyDescent="0.25">
      <c r="A697" s="16">
        <v>2023</v>
      </c>
      <c r="B697" s="17" t="s">
        <v>35</v>
      </c>
      <c r="C697" s="17" t="s">
        <v>16</v>
      </c>
      <c r="D697" s="17" t="s">
        <v>14</v>
      </c>
      <c r="E697" s="18">
        <v>12074</v>
      </c>
      <c r="F697" s="19">
        <v>10953765.789999999</v>
      </c>
      <c r="G697" s="17">
        <v>1.67</v>
      </c>
      <c r="H697" s="17">
        <v>65.23</v>
      </c>
      <c r="I697" s="17">
        <v>47.14</v>
      </c>
      <c r="J697" s="17">
        <v>106.03</v>
      </c>
      <c r="K697" s="17">
        <v>70.52</v>
      </c>
      <c r="L697" s="20" t="s">
        <v>27</v>
      </c>
    </row>
    <row r="698" spans="1:12" x14ac:dyDescent="0.25">
      <c r="A698" s="11">
        <v>2023</v>
      </c>
      <c r="B698" s="12" t="s">
        <v>35</v>
      </c>
      <c r="C698" s="12" t="s">
        <v>18</v>
      </c>
      <c r="D698" s="12" t="s">
        <v>14</v>
      </c>
      <c r="E698" s="13">
        <v>24787</v>
      </c>
      <c r="F698" s="14">
        <v>11158722.59</v>
      </c>
      <c r="G698" s="12">
        <v>2.93</v>
      </c>
      <c r="H698" s="12">
        <v>73.150000000000006</v>
      </c>
      <c r="I698" s="12">
        <v>29.28</v>
      </c>
      <c r="J698" s="12">
        <v>138</v>
      </c>
      <c r="K698" s="12">
        <v>68.94</v>
      </c>
      <c r="L698" s="15" t="s">
        <v>27</v>
      </c>
    </row>
    <row r="699" spans="1:12" x14ac:dyDescent="0.25">
      <c r="A699" s="16">
        <v>2023</v>
      </c>
      <c r="B699" s="17" t="s">
        <v>35</v>
      </c>
      <c r="C699" s="17" t="s">
        <v>20</v>
      </c>
      <c r="D699" s="17" t="s">
        <v>14</v>
      </c>
      <c r="E699" s="18">
        <v>40418</v>
      </c>
      <c r="F699" s="19">
        <v>32030342.59</v>
      </c>
      <c r="G699" s="17">
        <v>1.77999999999999</v>
      </c>
      <c r="H699" s="17">
        <v>61.9</v>
      </c>
      <c r="I699" s="17">
        <v>24.69</v>
      </c>
      <c r="J699" s="17">
        <v>160.97999999999999</v>
      </c>
      <c r="K699" s="17">
        <v>45.26</v>
      </c>
      <c r="L699" s="20" t="s">
        <v>21</v>
      </c>
    </row>
    <row r="700" spans="1:12" x14ac:dyDescent="0.25">
      <c r="A700" s="11">
        <v>2023</v>
      </c>
      <c r="B700" s="12" t="s">
        <v>35</v>
      </c>
      <c r="C700" s="12" t="s">
        <v>22</v>
      </c>
      <c r="D700" s="12" t="s">
        <v>14</v>
      </c>
      <c r="E700" s="13">
        <v>34655</v>
      </c>
      <c r="F700" s="14">
        <v>5500615.1399999997</v>
      </c>
      <c r="G700" s="12">
        <v>0</v>
      </c>
      <c r="H700" s="12">
        <v>36.06</v>
      </c>
      <c r="I700" s="12">
        <v>47.06</v>
      </c>
      <c r="J700" s="12">
        <v>75.69</v>
      </c>
      <c r="K700" s="12">
        <v>57.66</v>
      </c>
      <c r="L700" s="15" t="s">
        <v>19</v>
      </c>
    </row>
    <row r="701" spans="1:12" x14ac:dyDescent="0.25">
      <c r="A701" s="16">
        <v>2023</v>
      </c>
      <c r="B701" s="17" t="s">
        <v>35</v>
      </c>
      <c r="C701" s="17" t="s">
        <v>23</v>
      </c>
      <c r="D701" s="17" t="s">
        <v>24</v>
      </c>
      <c r="E701" s="18">
        <v>18720</v>
      </c>
      <c r="F701" s="19">
        <v>45175723.359999999</v>
      </c>
      <c r="G701" s="17">
        <v>6.09</v>
      </c>
      <c r="H701" s="17">
        <v>77.17</v>
      </c>
      <c r="I701" s="17">
        <v>13.16</v>
      </c>
      <c r="J701" s="17">
        <v>95.71</v>
      </c>
      <c r="K701" s="17">
        <v>54.69</v>
      </c>
      <c r="L701" s="20" t="s">
        <v>17</v>
      </c>
    </row>
    <row r="702" spans="1:12" x14ac:dyDescent="0.25">
      <c r="A702" s="11">
        <v>2023</v>
      </c>
      <c r="B702" s="12" t="s">
        <v>35</v>
      </c>
      <c r="C702" s="12" t="s">
        <v>25</v>
      </c>
      <c r="D702" s="12" t="s">
        <v>24</v>
      </c>
      <c r="E702" s="13">
        <v>7111</v>
      </c>
      <c r="F702" s="14">
        <v>38171299.740000002</v>
      </c>
      <c r="G702" s="12">
        <v>4.9000000000000004</v>
      </c>
      <c r="H702" s="12">
        <v>94.2</v>
      </c>
      <c r="I702" s="12">
        <v>53.26</v>
      </c>
      <c r="J702" s="12">
        <v>269.75</v>
      </c>
      <c r="K702" s="12">
        <v>52.92</v>
      </c>
      <c r="L702" s="15" t="s">
        <v>15</v>
      </c>
    </row>
    <row r="703" spans="1:12" x14ac:dyDescent="0.25">
      <c r="A703" s="16">
        <v>2023</v>
      </c>
      <c r="B703" s="17" t="s">
        <v>35</v>
      </c>
      <c r="C703" s="17" t="s">
        <v>26</v>
      </c>
      <c r="D703" s="17" t="s">
        <v>24</v>
      </c>
      <c r="E703" s="18">
        <v>22044</v>
      </c>
      <c r="F703" s="19">
        <v>31012290.23</v>
      </c>
      <c r="G703" s="17">
        <v>5.12</v>
      </c>
      <c r="H703" s="17">
        <v>79.73</v>
      </c>
      <c r="I703" s="17">
        <v>37.979999999999997</v>
      </c>
      <c r="J703" s="17">
        <v>63.5</v>
      </c>
      <c r="K703" s="17">
        <v>81.510000000000005</v>
      </c>
      <c r="L703" s="20" t="s">
        <v>17</v>
      </c>
    </row>
    <row r="704" spans="1:12" x14ac:dyDescent="0.25">
      <c r="A704" s="11">
        <v>2023</v>
      </c>
      <c r="B704" s="12" t="s">
        <v>35</v>
      </c>
      <c r="C704" s="12" t="s">
        <v>28</v>
      </c>
      <c r="D704" s="12" t="s">
        <v>24</v>
      </c>
      <c r="E704" s="13">
        <v>14004</v>
      </c>
      <c r="F704" s="14">
        <v>7989841.6199999899</v>
      </c>
      <c r="G704" s="12">
        <v>3.37</v>
      </c>
      <c r="H704" s="12">
        <v>86.05</v>
      </c>
      <c r="I704" s="12">
        <v>18.510000000000002</v>
      </c>
      <c r="J704" s="12">
        <v>249.43</v>
      </c>
      <c r="K704" s="12">
        <v>45.62</v>
      </c>
      <c r="L704" s="15" t="s">
        <v>21</v>
      </c>
    </row>
    <row r="705" spans="1:12" x14ac:dyDescent="0.25">
      <c r="A705" s="16">
        <v>2023</v>
      </c>
      <c r="B705" s="17" t="s">
        <v>35</v>
      </c>
      <c r="C705" s="17" t="s">
        <v>29</v>
      </c>
      <c r="D705" s="17" t="s">
        <v>24</v>
      </c>
      <c r="E705" s="18">
        <v>55851</v>
      </c>
      <c r="F705" s="19">
        <v>19401460.379999999</v>
      </c>
      <c r="G705" s="17">
        <v>5.04</v>
      </c>
      <c r="H705" s="17">
        <v>98.87</v>
      </c>
      <c r="I705" s="17">
        <v>14.29</v>
      </c>
      <c r="J705" s="17">
        <v>187.41</v>
      </c>
      <c r="K705" s="17">
        <v>45.43</v>
      </c>
      <c r="L705" s="20" t="s">
        <v>17</v>
      </c>
    </row>
    <row r="706" spans="1:12" x14ac:dyDescent="0.25">
      <c r="A706" s="11">
        <v>2023</v>
      </c>
      <c r="B706" s="12" t="s">
        <v>35</v>
      </c>
      <c r="C706" s="12" t="s">
        <v>30</v>
      </c>
      <c r="D706" s="12" t="s">
        <v>24</v>
      </c>
      <c r="E706" s="13">
        <v>43275</v>
      </c>
      <c r="F706" s="14">
        <v>7555516.4280000003</v>
      </c>
      <c r="G706" s="12">
        <v>4.18</v>
      </c>
      <c r="H706" s="12">
        <v>44.77</v>
      </c>
      <c r="I706" s="12">
        <v>25.77</v>
      </c>
      <c r="J706" s="12">
        <v>214.9</v>
      </c>
      <c r="K706" s="12">
        <v>48.3</v>
      </c>
      <c r="L706" s="15" t="s">
        <v>17</v>
      </c>
    </row>
    <row r="707" spans="1:12" x14ac:dyDescent="0.25">
      <c r="A707" s="16">
        <v>2023</v>
      </c>
      <c r="B707" s="17" t="s">
        <v>35</v>
      </c>
      <c r="C707" s="17" t="s">
        <v>31</v>
      </c>
      <c r="D707" s="17" t="s">
        <v>24</v>
      </c>
      <c r="E707" s="18">
        <v>14970</v>
      </c>
      <c r="F707" s="19">
        <v>18515548.91</v>
      </c>
      <c r="G707" s="17">
        <v>6.32</v>
      </c>
      <c r="H707" s="17">
        <v>52.48</v>
      </c>
      <c r="I707" s="17">
        <v>25</v>
      </c>
      <c r="J707" s="17">
        <v>57.27</v>
      </c>
      <c r="K707" s="17">
        <v>51.12</v>
      </c>
      <c r="L707" s="20" t="s">
        <v>17</v>
      </c>
    </row>
    <row r="708" spans="1:12" x14ac:dyDescent="0.25">
      <c r="A708" s="11">
        <v>2023</v>
      </c>
      <c r="B708" s="12" t="s">
        <v>35</v>
      </c>
      <c r="C708" s="12" t="s">
        <v>32</v>
      </c>
      <c r="D708" s="12" t="s">
        <v>24</v>
      </c>
      <c r="E708" s="13">
        <v>37850</v>
      </c>
      <c r="F708" s="14">
        <v>11674638.720000001</v>
      </c>
      <c r="G708" s="12">
        <v>6.51</v>
      </c>
      <c r="H708" s="12">
        <v>65.650000000000006</v>
      </c>
      <c r="I708" s="12">
        <v>35.799999999999997</v>
      </c>
      <c r="J708" s="12">
        <v>210.17</v>
      </c>
      <c r="K708" s="12">
        <v>70.25</v>
      </c>
      <c r="L708" s="15" t="s">
        <v>19</v>
      </c>
    </row>
    <row r="709" spans="1:12" x14ac:dyDescent="0.25">
      <c r="A709" s="16">
        <v>2023</v>
      </c>
      <c r="B709" s="17" t="s">
        <v>35</v>
      </c>
      <c r="C709" s="17" t="s">
        <v>33</v>
      </c>
      <c r="D709" s="17" t="s">
        <v>24</v>
      </c>
      <c r="E709" s="18">
        <v>12105</v>
      </c>
      <c r="F709" s="19">
        <v>51838068.950000003</v>
      </c>
      <c r="G709" s="17">
        <v>5.2799999999999896</v>
      </c>
      <c r="H709" s="17">
        <v>77.760000000000005</v>
      </c>
      <c r="I709" s="17">
        <v>52.15</v>
      </c>
      <c r="J709" s="17">
        <v>51.12</v>
      </c>
      <c r="K709" s="17">
        <v>86.82</v>
      </c>
      <c r="L709" s="20" t="s">
        <v>17</v>
      </c>
    </row>
    <row r="710" spans="1:12" x14ac:dyDescent="0.25">
      <c r="A710" s="11">
        <v>2023</v>
      </c>
      <c r="B710" s="12" t="s">
        <v>35</v>
      </c>
      <c r="C710" s="12" t="s">
        <v>34</v>
      </c>
      <c r="D710" s="12" t="s">
        <v>24</v>
      </c>
      <c r="E710" s="13">
        <v>43400</v>
      </c>
      <c r="F710" s="14">
        <v>25193544.600000001</v>
      </c>
      <c r="G710" s="12">
        <v>2.97</v>
      </c>
      <c r="H710" s="12">
        <v>86.63</v>
      </c>
      <c r="I710" s="12">
        <v>52.81</v>
      </c>
      <c r="J710" s="12">
        <v>178.32</v>
      </c>
      <c r="K710" s="12">
        <v>45.09</v>
      </c>
      <c r="L710" s="15" t="s">
        <v>17</v>
      </c>
    </row>
    <row r="711" spans="1:12" x14ac:dyDescent="0.25">
      <c r="A711" s="16">
        <v>2023</v>
      </c>
      <c r="B711" s="17" t="s">
        <v>36</v>
      </c>
      <c r="C711" s="17" t="s">
        <v>13</v>
      </c>
      <c r="D711" s="17" t="s">
        <v>14</v>
      </c>
      <c r="E711" s="18">
        <v>45735</v>
      </c>
      <c r="F711" s="19">
        <v>2987436.3840000001</v>
      </c>
      <c r="G711" s="17">
        <v>0.26</v>
      </c>
      <c r="H711" s="17">
        <v>50.76</v>
      </c>
      <c r="I711" s="17">
        <v>9.67</v>
      </c>
      <c r="J711" s="17">
        <v>280.41000000000003</v>
      </c>
      <c r="K711" s="17">
        <v>64.86</v>
      </c>
      <c r="L711" s="20" t="s">
        <v>15</v>
      </c>
    </row>
    <row r="712" spans="1:12" x14ac:dyDescent="0.25">
      <c r="A712" s="11">
        <v>2023</v>
      </c>
      <c r="B712" s="12" t="s">
        <v>36</v>
      </c>
      <c r="C712" s="12" t="s">
        <v>16</v>
      </c>
      <c r="D712" s="12" t="s">
        <v>14</v>
      </c>
      <c r="E712" s="13">
        <v>14799</v>
      </c>
      <c r="F712" s="14">
        <v>4874859.7379999999</v>
      </c>
      <c r="G712" s="12">
        <v>3.39</v>
      </c>
      <c r="H712" s="12">
        <v>49.36</v>
      </c>
      <c r="I712" s="12">
        <v>15.579999999999901</v>
      </c>
      <c r="J712" s="12">
        <v>220.38</v>
      </c>
      <c r="K712" s="12">
        <v>51.94</v>
      </c>
      <c r="L712" s="15" t="s">
        <v>19</v>
      </c>
    </row>
    <row r="713" spans="1:12" x14ac:dyDescent="0.25">
      <c r="A713" s="16">
        <v>2023</v>
      </c>
      <c r="B713" s="17" t="s">
        <v>36</v>
      </c>
      <c r="C713" s="17" t="s">
        <v>18</v>
      </c>
      <c r="D713" s="17" t="s">
        <v>14</v>
      </c>
      <c r="E713" s="18">
        <v>42940</v>
      </c>
      <c r="F713" s="19">
        <v>4424999.4989999998</v>
      </c>
      <c r="G713" s="17">
        <v>0.59</v>
      </c>
      <c r="H713" s="17">
        <v>87.76</v>
      </c>
      <c r="I713" s="17">
        <v>46.41</v>
      </c>
      <c r="J713" s="17">
        <v>87.57</v>
      </c>
      <c r="K713" s="17">
        <v>83.22</v>
      </c>
      <c r="L713" s="20" t="s">
        <v>27</v>
      </c>
    </row>
    <row r="714" spans="1:12" x14ac:dyDescent="0.25">
      <c r="A714" s="11">
        <v>2023</v>
      </c>
      <c r="B714" s="12" t="s">
        <v>36</v>
      </c>
      <c r="C714" s="12" t="s">
        <v>20</v>
      </c>
      <c r="D714" s="12" t="s">
        <v>14</v>
      </c>
      <c r="E714" s="13">
        <v>46321</v>
      </c>
      <c r="F714" s="14">
        <v>12172734.050000001</v>
      </c>
      <c r="G714" s="12">
        <v>2.5</v>
      </c>
      <c r="H714" s="12">
        <v>44.49</v>
      </c>
      <c r="I714" s="12">
        <v>12.73</v>
      </c>
      <c r="J714" s="12">
        <v>238.14</v>
      </c>
      <c r="K714" s="12">
        <v>47.82</v>
      </c>
      <c r="L714" s="15" t="s">
        <v>27</v>
      </c>
    </row>
    <row r="715" spans="1:12" x14ac:dyDescent="0.25">
      <c r="A715" s="16">
        <v>2023</v>
      </c>
      <c r="B715" s="17" t="s">
        <v>36</v>
      </c>
      <c r="C715" s="17" t="s">
        <v>22</v>
      </c>
      <c r="D715" s="17" t="s">
        <v>14</v>
      </c>
      <c r="E715" s="18">
        <v>22101</v>
      </c>
      <c r="F715" s="19">
        <v>45898246.390000001</v>
      </c>
      <c r="G715" s="17">
        <v>0.35</v>
      </c>
      <c r="H715" s="17">
        <v>38.79</v>
      </c>
      <c r="I715" s="17">
        <v>27.92</v>
      </c>
      <c r="J715" s="17">
        <v>77.87</v>
      </c>
      <c r="K715" s="17">
        <v>49.98</v>
      </c>
      <c r="L715" s="20" t="s">
        <v>27</v>
      </c>
    </row>
    <row r="716" spans="1:12" x14ac:dyDescent="0.25">
      <c r="A716" s="11">
        <v>2023</v>
      </c>
      <c r="B716" s="12" t="s">
        <v>36</v>
      </c>
      <c r="C716" s="12" t="s">
        <v>23</v>
      </c>
      <c r="D716" s="12" t="s">
        <v>24</v>
      </c>
      <c r="E716" s="13">
        <v>18578</v>
      </c>
      <c r="F716" s="14">
        <v>35842354.880000003</v>
      </c>
      <c r="G716" s="12">
        <v>5.27</v>
      </c>
      <c r="H716" s="12">
        <v>41.64</v>
      </c>
      <c r="I716" s="12">
        <v>13.95</v>
      </c>
      <c r="J716" s="12">
        <v>192.01</v>
      </c>
      <c r="K716" s="12">
        <v>73.64</v>
      </c>
      <c r="L716" s="15" t="s">
        <v>21</v>
      </c>
    </row>
    <row r="717" spans="1:12" x14ac:dyDescent="0.25">
      <c r="A717" s="16">
        <v>2023</v>
      </c>
      <c r="B717" s="17" t="s">
        <v>36</v>
      </c>
      <c r="C717" s="17" t="s">
        <v>25</v>
      </c>
      <c r="D717" s="17" t="s">
        <v>24</v>
      </c>
      <c r="E717" s="18">
        <v>63804</v>
      </c>
      <c r="F717" s="19">
        <v>26099538.280000001</v>
      </c>
      <c r="G717" s="17">
        <v>2.5299999999999998</v>
      </c>
      <c r="H717" s="17">
        <v>49.54</v>
      </c>
      <c r="I717" s="17">
        <v>36.479999999999997</v>
      </c>
      <c r="J717" s="17">
        <v>168.21</v>
      </c>
      <c r="K717" s="17">
        <v>88.53</v>
      </c>
      <c r="L717" s="20" t="s">
        <v>21</v>
      </c>
    </row>
    <row r="718" spans="1:12" x14ac:dyDescent="0.25">
      <c r="A718" s="11">
        <v>2023</v>
      </c>
      <c r="B718" s="12" t="s">
        <v>36</v>
      </c>
      <c r="C718" s="12" t="s">
        <v>26</v>
      </c>
      <c r="D718" s="12" t="s">
        <v>24</v>
      </c>
      <c r="E718" s="13">
        <v>60353</v>
      </c>
      <c r="F718" s="14">
        <v>10771600.5239999</v>
      </c>
      <c r="G718" s="12">
        <v>3.43</v>
      </c>
      <c r="H718" s="12">
        <v>67.709999999999994</v>
      </c>
      <c r="I718" s="12">
        <v>35.68</v>
      </c>
      <c r="J718" s="12">
        <v>79.34</v>
      </c>
      <c r="K718" s="12">
        <v>58.28</v>
      </c>
      <c r="L718" s="15" t="s">
        <v>21</v>
      </c>
    </row>
    <row r="719" spans="1:12" x14ac:dyDescent="0.25">
      <c r="A719" s="16">
        <v>2023</v>
      </c>
      <c r="B719" s="17" t="s">
        <v>36</v>
      </c>
      <c r="C719" s="17" t="s">
        <v>28</v>
      </c>
      <c r="D719" s="17" t="s">
        <v>24</v>
      </c>
      <c r="E719" s="18">
        <v>56014</v>
      </c>
      <c r="F719" s="19">
        <v>38203293.829999998</v>
      </c>
      <c r="G719" s="17">
        <v>5.04</v>
      </c>
      <c r="H719" s="17">
        <v>92.55</v>
      </c>
      <c r="I719" s="17">
        <v>22.12</v>
      </c>
      <c r="J719" s="17">
        <v>50.37</v>
      </c>
      <c r="K719" s="17">
        <v>45.65</v>
      </c>
      <c r="L719" s="20" t="s">
        <v>15</v>
      </c>
    </row>
    <row r="720" spans="1:12" x14ac:dyDescent="0.25">
      <c r="A720" s="11">
        <v>2023</v>
      </c>
      <c r="B720" s="12" t="s">
        <v>36</v>
      </c>
      <c r="C720" s="12" t="s">
        <v>29</v>
      </c>
      <c r="D720" s="12" t="s">
        <v>24</v>
      </c>
      <c r="E720" s="13">
        <v>30009</v>
      </c>
      <c r="F720" s="14">
        <v>27935761.68</v>
      </c>
      <c r="G720" s="12">
        <v>5.49</v>
      </c>
      <c r="H720" s="12">
        <v>48.11</v>
      </c>
      <c r="I720" s="12">
        <v>22.61</v>
      </c>
      <c r="J720" s="12">
        <v>157</v>
      </c>
      <c r="K720" s="12">
        <v>94.16</v>
      </c>
      <c r="L720" s="15" t="s">
        <v>27</v>
      </c>
    </row>
    <row r="721" spans="1:12" x14ac:dyDescent="0.25">
      <c r="A721" s="16">
        <v>2023</v>
      </c>
      <c r="B721" s="17" t="s">
        <v>36</v>
      </c>
      <c r="C721" s="17" t="s">
        <v>30</v>
      </c>
      <c r="D721" s="17" t="s">
        <v>24</v>
      </c>
      <c r="E721" s="18">
        <v>11176</v>
      </c>
      <c r="F721" s="19">
        <v>41387013.969999999</v>
      </c>
      <c r="G721" s="17">
        <v>6.52</v>
      </c>
      <c r="H721" s="17">
        <v>59.53</v>
      </c>
      <c r="I721" s="17">
        <v>7.3599999999999897</v>
      </c>
      <c r="J721" s="17">
        <v>246.52</v>
      </c>
      <c r="K721" s="17">
        <v>46.97</v>
      </c>
      <c r="L721" s="20" t="s">
        <v>21</v>
      </c>
    </row>
    <row r="722" spans="1:12" x14ac:dyDescent="0.25">
      <c r="A722" s="11">
        <v>2023</v>
      </c>
      <c r="B722" s="12" t="s">
        <v>36</v>
      </c>
      <c r="C722" s="12" t="s">
        <v>31</v>
      </c>
      <c r="D722" s="12" t="s">
        <v>24</v>
      </c>
      <c r="E722" s="13">
        <v>35816</v>
      </c>
      <c r="F722" s="14">
        <v>11652906.140000001</v>
      </c>
      <c r="G722" s="12">
        <v>6.83</v>
      </c>
      <c r="H722" s="12">
        <v>52.51</v>
      </c>
      <c r="I722" s="12">
        <v>23.96</v>
      </c>
      <c r="J722" s="12">
        <v>85.44</v>
      </c>
      <c r="K722" s="12">
        <v>54.57</v>
      </c>
      <c r="L722" s="15" t="s">
        <v>21</v>
      </c>
    </row>
    <row r="723" spans="1:12" x14ac:dyDescent="0.25">
      <c r="A723" s="16">
        <v>2023</v>
      </c>
      <c r="B723" s="17" t="s">
        <v>36</v>
      </c>
      <c r="C723" s="17" t="s">
        <v>32</v>
      </c>
      <c r="D723" s="17" t="s">
        <v>24</v>
      </c>
      <c r="E723" s="18">
        <v>51399</v>
      </c>
      <c r="F723" s="19">
        <v>42332669.411999904</v>
      </c>
      <c r="G723" s="17">
        <v>4.71</v>
      </c>
      <c r="H723" s="17">
        <v>77.37</v>
      </c>
      <c r="I723" s="17">
        <v>33.159999999999997</v>
      </c>
      <c r="J723" s="17">
        <v>212.73</v>
      </c>
      <c r="K723" s="17">
        <v>87.94</v>
      </c>
      <c r="L723" s="20" t="s">
        <v>17</v>
      </c>
    </row>
    <row r="724" spans="1:12" x14ac:dyDescent="0.25">
      <c r="A724" s="11">
        <v>2023</v>
      </c>
      <c r="B724" s="12" t="s">
        <v>36</v>
      </c>
      <c r="C724" s="12" t="s">
        <v>33</v>
      </c>
      <c r="D724" s="12" t="s">
        <v>24</v>
      </c>
      <c r="E724" s="13">
        <v>25724</v>
      </c>
      <c r="F724" s="14">
        <v>4967036.6160000004</v>
      </c>
      <c r="G724" s="12">
        <v>2.8</v>
      </c>
      <c r="H724" s="12">
        <v>102.38</v>
      </c>
      <c r="I724" s="12">
        <v>45.67</v>
      </c>
      <c r="J724" s="12">
        <v>52.28</v>
      </c>
      <c r="K724" s="12">
        <v>75.87</v>
      </c>
      <c r="L724" s="15" t="s">
        <v>15</v>
      </c>
    </row>
    <row r="725" spans="1:12" x14ac:dyDescent="0.25">
      <c r="A725" s="16">
        <v>2023</v>
      </c>
      <c r="B725" s="17" t="s">
        <v>36</v>
      </c>
      <c r="C725" s="17" t="s">
        <v>34</v>
      </c>
      <c r="D725" s="17" t="s">
        <v>24</v>
      </c>
      <c r="E725" s="18">
        <v>19229</v>
      </c>
      <c r="F725" s="19">
        <v>37535867.520000003</v>
      </c>
      <c r="G725" s="17">
        <v>6.95</v>
      </c>
      <c r="H725" s="17">
        <v>71.89</v>
      </c>
      <c r="I725" s="17">
        <v>44.75</v>
      </c>
      <c r="J725" s="17">
        <v>122.87</v>
      </c>
      <c r="K725" s="17">
        <v>91.72</v>
      </c>
      <c r="L725" s="20" t="s">
        <v>17</v>
      </c>
    </row>
    <row r="726" spans="1:12" x14ac:dyDescent="0.25">
      <c r="A726" s="11">
        <v>2023</v>
      </c>
      <c r="B726" s="12" t="s">
        <v>37</v>
      </c>
      <c r="C726" s="12" t="s">
        <v>13</v>
      </c>
      <c r="D726" s="12" t="s">
        <v>14</v>
      </c>
      <c r="E726" s="13">
        <v>40560</v>
      </c>
      <c r="F726" s="14">
        <v>10240842.15</v>
      </c>
      <c r="G726" s="12">
        <v>1.06</v>
      </c>
      <c r="H726" s="12">
        <v>40.090000000000003</v>
      </c>
      <c r="I726" s="12">
        <v>30.86</v>
      </c>
      <c r="J726" s="12">
        <v>154.81</v>
      </c>
      <c r="K726" s="12">
        <v>68.239999999999995</v>
      </c>
      <c r="L726" s="15" t="s">
        <v>21</v>
      </c>
    </row>
    <row r="727" spans="1:12" x14ac:dyDescent="0.25">
      <c r="A727" s="16">
        <v>2023</v>
      </c>
      <c r="B727" s="17" t="s">
        <v>37</v>
      </c>
      <c r="C727" s="17" t="s">
        <v>16</v>
      </c>
      <c r="D727" s="17" t="s">
        <v>14</v>
      </c>
      <c r="E727" s="18">
        <v>35697</v>
      </c>
      <c r="F727" s="19">
        <v>19462564.98</v>
      </c>
      <c r="G727" s="17">
        <v>2.4900000000000002</v>
      </c>
      <c r="H727" s="17">
        <v>36.549999999999997</v>
      </c>
      <c r="I727" s="17">
        <v>36.44</v>
      </c>
      <c r="J727" s="17">
        <v>236.39</v>
      </c>
      <c r="K727" s="17">
        <v>47.11</v>
      </c>
      <c r="L727" s="20" t="s">
        <v>21</v>
      </c>
    </row>
    <row r="728" spans="1:12" x14ac:dyDescent="0.25">
      <c r="A728" s="11">
        <v>2023</v>
      </c>
      <c r="B728" s="12" t="s">
        <v>37</v>
      </c>
      <c r="C728" s="12" t="s">
        <v>18</v>
      </c>
      <c r="D728" s="12" t="s">
        <v>14</v>
      </c>
      <c r="E728" s="13">
        <v>47421</v>
      </c>
      <c r="F728" s="14">
        <v>4828393.0619999999</v>
      </c>
      <c r="G728" s="12">
        <v>0.34</v>
      </c>
      <c r="H728" s="12">
        <v>69.319999999999993</v>
      </c>
      <c r="I728" s="12">
        <v>14.16</v>
      </c>
      <c r="J728" s="12">
        <v>174.21</v>
      </c>
      <c r="K728" s="12">
        <v>73.78</v>
      </c>
      <c r="L728" s="15" t="s">
        <v>17</v>
      </c>
    </row>
    <row r="729" spans="1:12" x14ac:dyDescent="0.25">
      <c r="A729" s="16">
        <v>2023</v>
      </c>
      <c r="B729" s="17" t="s">
        <v>37</v>
      </c>
      <c r="C729" s="17" t="s">
        <v>20</v>
      </c>
      <c r="D729" s="17" t="s">
        <v>14</v>
      </c>
      <c r="E729" s="18">
        <v>36328</v>
      </c>
      <c r="F729" s="19">
        <v>33957658.93</v>
      </c>
      <c r="G729" s="17">
        <v>1.68</v>
      </c>
      <c r="H729" s="17">
        <v>25.34</v>
      </c>
      <c r="I729" s="17">
        <v>10.88</v>
      </c>
      <c r="J729" s="17">
        <v>248.93</v>
      </c>
      <c r="K729" s="17">
        <v>80.819999999999993</v>
      </c>
      <c r="L729" s="20" t="s">
        <v>19</v>
      </c>
    </row>
    <row r="730" spans="1:12" x14ac:dyDescent="0.25">
      <c r="A730" s="11">
        <v>2023</v>
      </c>
      <c r="B730" s="12" t="s">
        <v>37</v>
      </c>
      <c r="C730" s="12" t="s">
        <v>22</v>
      </c>
      <c r="D730" s="12" t="s">
        <v>14</v>
      </c>
      <c r="E730" s="13">
        <v>7177</v>
      </c>
      <c r="F730" s="14">
        <v>12756979.869999999</v>
      </c>
      <c r="G730" s="12">
        <v>3.84</v>
      </c>
      <c r="H730" s="12">
        <v>83.21</v>
      </c>
      <c r="I730" s="12">
        <v>46.58</v>
      </c>
      <c r="J730" s="12">
        <v>244.75</v>
      </c>
      <c r="K730" s="12">
        <v>58.59</v>
      </c>
      <c r="L730" s="15" t="s">
        <v>17</v>
      </c>
    </row>
    <row r="731" spans="1:12" x14ac:dyDescent="0.25">
      <c r="A731" s="16">
        <v>2023</v>
      </c>
      <c r="B731" s="17" t="s">
        <v>37</v>
      </c>
      <c r="C731" s="17" t="s">
        <v>23</v>
      </c>
      <c r="D731" s="17" t="s">
        <v>24</v>
      </c>
      <c r="E731" s="18">
        <v>26543</v>
      </c>
      <c r="F731" s="19">
        <v>22616882.710000001</v>
      </c>
      <c r="G731" s="17">
        <v>6.92</v>
      </c>
      <c r="H731" s="17">
        <v>47.63</v>
      </c>
      <c r="I731" s="17">
        <v>35.93</v>
      </c>
      <c r="J731" s="17">
        <v>142.99</v>
      </c>
      <c r="K731" s="17">
        <v>65.489999999999995</v>
      </c>
      <c r="L731" s="20" t="s">
        <v>27</v>
      </c>
    </row>
    <row r="732" spans="1:12" x14ac:dyDescent="0.25">
      <c r="A732" s="11">
        <v>2023</v>
      </c>
      <c r="B732" s="12" t="s">
        <v>37</v>
      </c>
      <c r="C732" s="12" t="s">
        <v>25</v>
      </c>
      <c r="D732" s="12" t="s">
        <v>24</v>
      </c>
      <c r="E732" s="13">
        <v>56191</v>
      </c>
      <c r="F732" s="14">
        <v>12240588.060000001</v>
      </c>
      <c r="G732" s="12">
        <v>6.71</v>
      </c>
      <c r="H732" s="12">
        <v>72.16</v>
      </c>
      <c r="I732" s="12">
        <v>7.12</v>
      </c>
      <c r="J732" s="12">
        <v>152.26</v>
      </c>
      <c r="K732" s="12">
        <v>87.72</v>
      </c>
      <c r="L732" s="15" t="s">
        <v>15</v>
      </c>
    </row>
    <row r="733" spans="1:12" x14ac:dyDescent="0.25">
      <c r="A733" s="16">
        <v>2023</v>
      </c>
      <c r="B733" s="17" t="s">
        <v>37</v>
      </c>
      <c r="C733" s="17" t="s">
        <v>26</v>
      </c>
      <c r="D733" s="17" t="s">
        <v>24</v>
      </c>
      <c r="E733" s="18">
        <v>31159</v>
      </c>
      <c r="F733" s="19">
        <v>41780958.789999999</v>
      </c>
      <c r="G733" s="17">
        <v>4.5599999999999996</v>
      </c>
      <c r="H733" s="17">
        <v>79.39</v>
      </c>
      <c r="I733" s="17">
        <v>20.12</v>
      </c>
      <c r="J733" s="17">
        <v>294.91000000000003</v>
      </c>
      <c r="K733" s="17">
        <v>53.57</v>
      </c>
      <c r="L733" s="20" t="s">
        <v>19</v>
      </c>
    </row>
    <row r="734" spans="1:12" x14ac:dyDescent="0.25">
      <c r="A734" s="11">
        <v>2023</v>
      </c>
      <c r="B734" s="12" t="s">
        <v>37</v>
      </c>
      <c r="C734" s="12" t="s">
        <v>28</v>
      </c>
      <c r="D734" s="12" t="s">
        <v>24</v>
      </c>
      <c r="E734" s="13">
        <v>61064</v>
      </c>
      <c r="F734" s="14">
        <v>65387195.350000001</v>
      </c>
      <c r="G734" s="12">
        <v>5.49</v>
      </c>
      <c r="H734" s="12">
        <v>85.64</v>
      </c>
      <c r="I734" s="12">
        <v>26.68</v>
      </c>
      <c r="J734" s="12">
        <v>170.74</v>
      </c>
      <c r="K734" s="12">
        <v>59.27</v>
      </c>
      <c r="L734" s="15" t="s">
        <v>15</v>
      </c>
    </row>
    <row r="735" spans="1:12" x14ac:dyDescent="0.25">
      <c r="A735" s="16">
        <v>2023</v>
      </c>
      <c r="B735" s="17" t="s">
        <v>37</v>
      </c>
      <c r="C735" s="17" t="s">
        <v>29</v>
      </c>
      <c r="D735" s="17" t="s">
        <v>24</v>
      </c>
      <c r="E735" s="18">
        <v>34138</v>
      </c>
      <c r="F735" s="19">
        <v>54539172.82</v>
      </c>
      <c r="G735" s="17">
        <v>5.92</v>
      </c>
      <c r="H735" s="17">
        <v>98.31</v>
      </c>
      <c r="I735" s="17">
        <v>21.34</v>
      </c>
      <c r="J735" s="17">
        <v>195.17</v>
      </c>
      <c r="K735" s="17">
        <v>79.73</v>
      </c>
      <c r="L735" s="20" t="s">
        <v>15</v>
      </c>
    </row>
    <row r="736" spans="1:12" x14ac:dyDescent="0.25">
      <c r="A736" s="11">
        <v>2023</v>
      </c>
      <c r="B736" s="12" t="s">
        <v>37</v>
      </c>
      <c r="C736" s="12" t="s">
        <v>30</v>
      </c>
      <c r="D736" s="12" t="s">
        <v>24</v>
      </c>
      <c r="E736" s="13">
        <v>36216</v>
      </c>
      <c r="F736" s="14">
        <v>29959374.23</v>
      </c>
      <c r="G736" s="12">
        <v>3.82</v>
      </c>
      <c r="H736" s="12">
        <v>70.59</v>
      </c>
      <c r="I736" s="12">
        <v>46.92</v>
      </c>
      <c r="J736" s="12">
        <v>177.43</v>
      </c>
      <c r="K736" s="12">
        <v>63.86</v>
      </c>
      <c r="L736" s="15" t="s">
        <v>17</v>
      </c>
    </row>
    <row r="737" spans="1:12" x14ac:dyDescent="0.25">
      <c r="A737" s="16">
        <v>2023</v>
      </c>
      <c r="B737" s="17" t="s">
        <v>37</v>
      </c>
      <c r="C737" s="17" t="s">
        <v>31</v>
      </c>
      <c r="D737" s="17" t="s">
        <v>24</v>
      </c>
      <c r="E737" s="18">
        <v>56470</v>
      </c>
      <c r="F737" s="19">
        <v>29368072.66</v>
      </c>
      <c r="G737" s="17">
        <v>5.15</v>
      </c>
      <c r="H737" s="17">
        <v>71.88</v>
      </c>
      <c r="I737" s="17">
        <v>21.15</v>
      </c>
      <c r="J737" s="17">
        <v>192.3</v>
      </c>
      <c r="K737" s="17">
        <v>46.87</v>
      </c>
      <c r="L737" s="20" t="s">
        <v>21</v>
      </c>
    </row>
    <row r="738" spans="1:12" x14ac:dyDescent="0.25">
      <c r="A738" s="11">
        <v>2023</v>
      </c>
      <c r="B738" s="12" t="s">
        <v>37</v>
      </c>
      <c r="C738" s="12" t="s">
        <v>32</v>
      </c>
      <c r="D738" s="12" t="s">
        <v>24</v>
      </c>
      <c r="E738" s="13">
        <v>50544</v>
      </c>
      <c r="F738" s="14">
        <v>43782286.43</v>
      </c>
      <c r="G738" s="12">
        <v>4.6399999999999997</v>
      </c>
      <c r="H738" s="12">
        <v>96.7</v>
      </c>
      <c r="I738" s="12">
        <v>13.78</v>
      </c>
      <c r="J738" s="12">
        <v>184.26</v>
      </c>
      <c r="K738" s="12">
        <v>51.56</v>
      </c>
      <c r="L738" s="15" t="s">
        <v>21</v>
      </c>
    </row>
    <row r="739" spans="1:12" x14ac:dyDescent="0.25">
      <c r="A739" s="16">
        <v>2023</v>
      </c>
      <c r="B739" s="17" t="s">
        <v>37</v>
      </c>
      <c r="C739" s="17" t="s">
        <v>33</v>
      </c>
      <c r="D739" s="17" t="s">
        <v>24</v>
      </c>
      <c r="E739" s="18">
        <v>8752</v>
      </c>
      <c r="F739" s="19">
        <v>38989375.219999999</v>
      </c>
      <c r="G739" s="17">
        <v>2.66</v>
      </c>
      <c r="H739" s="17">
        <v>83.21</v>
      </c>
      <c r="I739" s="17">
        <v>28.99</v>
      </c>
      <c r="J739" s="17">
        <v>286.82</v>
      </c>
      <c r="K739" s="17">
        <v>62.63</v>
      </c>
      <c r="L739" s="20" t="s">
        <v>27</v>
      </c>
    </row>
    <row r="740" spans="1:12" x14ac:dyDescent="0.25">
      <c r="A740" s="11">
        <v>2023</v>
      </c>
      <c r="B740" s="12" t="s">
        <v>37</v>
      </c>
      <c r="C740" s="12" t="s">
        <v>34</v>
      </c>
      <c r="D740" s="12" t="s">
        <v>24</v>
      </c>
      <c r="E740" s="13">
        <v>52161</v>
      </c>
      <c r="F740" s="14">
        <v>28251610.309999999</v>
      </c>
      <c r="G740" s="12">
        <v>4.47</v>
      </c>
      <c r="H740" s="12">
        <v>63.99</v>
      </c>
      <c r="I740" s="12">
        <v>48.56</v>
      </c>
      <c r="J740" s="12">
        <v>255.02</v>
      </c>
      <c r="K740" s="12">
        <v>48.38</v>
      </c>
      <c r="L740" s="15" t="s">
        <v>19</v>
      </c>
    </row>
    <row r="741" spans="1:12" x14ac:dyDescent="0.25">
      <c r="A741" s="16">
        <v>2023</v>
      </c>
      <c r="B741" s="17" t="s">
        <v>12</v>
      </c>
      <c r="C741" s="17" t="s">
        <v>13</v>
      </c>
      <c r="D741" s="17" t="s">
        <v>14</v>
      </c>
      <c r="E741" s="18">
        <v>40947</v>
      </c>
      <c r="F741" s="19">
        <v>29431350.050000001</v>
      </c>
      <c r="G741" s="17">
        <v>2.29</v>
      </c>
      <c r="H741" s="17">
        <v>31.64</v>
      </c>
      <c r="I741" s="17">
        <v>20.82</v>
      </c>
      <c r="J741" s="17">
        <v>272.01</v>
      </c>
      <c r="K741" s="17">
        <v>80.790000000000006</v>
      </c>
      <c r="L741" s="20" t="s">
        <v>27</v>
      </c>
    </row>
    <row r="742" spans="1:12" x14ac:dyDescent="0.25">
      <c r="A742" s="11">
        <v>2023</v>
      </c>
      <c r="B742" s="12" t="s">
        <v>12</v>
      </c>
      <c r="C742" s="12" t="s">
        <v>16</v>
      </c>
      <c r="D742" s="12" t="s">
        <v>14</v>
      </c>
      <c r="E742" s="13">
        <v>14664</v>
      </c>
      <c r="F742" s="14">
        <v>15195950.99</v>
      </c>
      <c r="G742" s="12">
        <v>1.66</v>
      </c>
      <c r="H742" s="12">
        <v>62.66</v>
      </c>
      <c r="I742" s="12">
        <v>1.47</v>
      </c>
      <c r="J742" s="12">
        <v>171.98</v>
      </c>
      <c r="K742" s="12">
        <v>74.11</v>
      </c>
      <c r="L742" s="15" t="s">
        <v>21</v>
      </c>
    </row>
    <row r="743" spans="1:12" x14ac:dyDescent="0.25">
      <c r="A743" s="16">
        <v>2023</v>
      </c>
      <c r="B743" s="17" t="s">
        <v>12</v>
      </c>
      <c r="C743" s="17" t="s">
        <v>18</v>
      </c>
      <c r="D743" s="17" t="s">
        <v>14</v>
      </c>
      <c r="E743" s="18">
        <v>43817</v>
      </c>
      <c r="F743" s="19">
        <v>24176526.140000001</v>
      </c>
      <c r="G743" s="17">
        <v>2.4500000000000002</v>
      </c>
      <c r="H743" s="17">
        <v>48.62</v>
      </c>
      <c r="I743" s="17">
        <v>20.28</v>
      </c>
      <c r="J743" s="17">
        <v>175.27</v>
      </c>
      <c r="K743" s="17">
        <v>73.89</v>
      </c>
      <c r="L743" s="20" t="s">
        <v>27</v>
      </c>
    </row>
    <row r="744" spans="1:12" x14ac:dyDescent="0.25">
      <c r="A744" s="11">
        <v>2023</v>
      </c>
      <c r="B744" s="12" t="s">
        <v>12</v>
      </c>
      <c r="C744" s="12" t="s">
        <v>20</v>
      </c>
      <c r="D744" s="12" t="s">
        <v>14</v>
      </c>
      <c r="E744" s="13">
        <v>41459</v>
      </c>
      <c r="F744" s="14">
        <v>13687954.880000001</v>
      </c>
      <c r="G744" s="12">
        <v>-0.11</v>
      </c>
      <c r="H744" s="12">
        <v>62.18</v>
      </c>
      <c r="I744" s="12">
        <v>11.77</v>
      </c>
      <c r="J744" s="12">
        <v>287.5</v>
      </c>
      <c r="K744" s="12">
        <v>41.54</v>
      </c>
      <c r="L744" s="15" t="s">
        <v>17</v>
      </c>
    </row>
    <row r="745" spans="1:12" x14ac:dyDescent="0.25">
      <c r="A745" s="16">
        <v>2023</v>
      </c>
      <c r="B745" s="17" t="s">
        <v>12</v>
      </c>
      <c r="C745" s="17" t="s">
        <v>22</v>
      </c>
      <c r="D745" s="17" t="s">
        <v>14</v>
      </c>
      <c r="E745" s="18">
        <v>32918</v>
      </c>
      <c r="F745" s="19">
        <v>22481075.41</v>
      </c>
      <c r="G745" s="17">
        <v>1.86</v>
      </c>
      <c r="H745" s="17">
        <v>81.72</v>
      </c>
      <c r="I745" s="17">
        <v>33.4</v>
      </c>
      <c r="J745" s="17">
        <v>108.49</v>
      </c>
      <c r="K745" s="17">
        <v>65.459999999999994</v>
      </c>
      <c r="L745" s="20" t="s">
        <v>21</v>
      </c>
    </row>
    <row r="746" spans="1:12" x14ac:dyDescent="0.25">
      <c r="A746" s="11">
        <v>2023</v>
      </c>
      <c r="B746" s="12" t="s">
        <v>12</v>
      </c>
      <c r="C746" s="12" t="s">
        <v>23</v>
      </c>
      <c r="D746" s="12" t="s">
        <v>24</v>
      </c>
      <c r="E746" s="13">
        <v>42266</v>
      </c>
      <c r="F746" s="14">
        <v>25950100.260000002</v>
      </c>
      <c r="G746" s="12">
        <v>6.02</v>
      </c>
      <c r="H746" s="12">
        <v>55.39</v>
      </c>
      <c r="I746" s="12">
        <v>39.53</v>
      </c>
      <c r="J746" s="12">
        <v>262.25</v>
      </c>
      <c r="K746" s="12">
        <v>45.63</v>
      </c>
      <c r="L746" s="15" t="s">
        <v>15</v>
      </c>
    </row>
    <row r="747" spans="1:12" x14ac:dyDescent="0.25">
      <c r="A747" s="16">
        <v>2023</v>
      </c>
      <c r="B747" s="17" t="s">
        <v>12</v>
      </c>
      <c r="C747" s="17" t="s">
        <v>25</v>
      </c>
      <c r="D747" s="17" t="s">
        <v>24</v>
      </c>
      <c r="E747" s="18">
        <v>35503</v>
      </c>
      <c r="F747" s="19">
        <v>31844795.27</v>
      </c>
      <c r="G747" s="17">
        <v>3.87</v>
      </c>
      <c r="H747" s="17">
        <v>85.47</v>
      </c>
      <c r="I747" s="17">
        <v>48.17</v>
      </c>
      <c r="J747" s="17">
        <v>262.83999999999997</v>
      </c>
      <c r="K747" s="17">
        <v>68</v>
      </c>
      <c r="L747" s="20" t="s">
        <v>15</v>
      </c>
    </row>
    <row r="748" spans="1:12" x14ac:dyDescent="0.25">
      <c r="A748" s="11">
        <v>2023</v>
      </c>
      <c r="B748" s="12" t="s">
        <v>12</v>
      </c>
      <c r="C748" s="12" t="s">
        <v>26</v>
      </c>
      <c r="D748" s="12" t="s">
        <v>24</v>
      </c>
      <c r="E748" s="13">
        <v>47694</v>
      </c>
      <c r="F748" s="14">
        <v>18903891.32</v>
      </c>
      <c r="G748" s="12">
        <v>5.9</v>
      </c>
      <c r="H748" s="12">
        <v>62.48</v>
      </c>
      <c r="I748" s="12">
        <v>29.12</v>
      </c>
      <c r="J748" s="12">
        <v>227.77</v>
      </c>
      <c r="K748" s="12">
        <v>87.07</v>
      </c>
      <c r="L748" s="15" t="s">
        <v>27</v>
      </c>
    </row>
    <row r="749" spans="1:12" x14ac:dyDescent="0.25">
      <c r="A749" s="16">
        <v>2023</v>
      </c>
      <c r="B749" s="17" t="s">
        <v>12</v>
      </c>
      <c r="C749" s="17" t="s">
        <v>28</v>
      </c>
      <c r="D749" s="17" t="s">
        <v>24</v>
      </c>
      <c r="E749" s="18">
        <v>36500</v>
      </c>
      <c r="F749" s="19">
        <v>11340925.859999999</v>
      </c>
      <c r="G749" s="17">
        <v>2.86</v>
      </c>
      <c r="H749" s="17">
        <v>98.22</v>
      </c>
      <c r="I749" s="17">
        <v>46.72</v>
      </c>
      <c r="J749" s="17">
        <v>177.9</v>
      </c>
      <c r="K749" s="17">
        <v>65.83</v>
      </c>
      <c r="L749" s="20" t="s">
        <v>15</v>
      </c>
    </row>
    <row r="750" spans="1:12" x14ac:dyDescent="0.25">
      <c r="A750" s="11">
        <v>2023</v>
      </c>
      <c r="B750" s="12" t="s">
        <v>12</v>
      </c>
      <c r="C750" s="12" t="s">
        <v>29</v>
      </c>
      <c r="D750" s="12" t="s">
        <v>24</v>
      </c>
      <c r="E750" s="13">
        <v>31535</v>
      </c>
      <c r="F750" s="14">
        <v>75369161.280000001</v>
      </c>
      <c r="G750" s="12">
        <v>4.8499999999999996</v>
      </c>
      <c r="H750" s="12">
        <v>103.92</v>
      </c>
      <c r="I750" s="12">
        <v>6.42</v>
      </c>
      <c r="J750" s="12">
        <v>256.02999999999997</v>
      </c>
      <c r="K750" s="12">
        <v>54.7</v>
      </c>
      <c r="L750" s="15" t="s">
        <v>15</v>
      </c>
    </row>
    <row r="751" spans="1:12" x14ac:dyDescent="0.25">
      <c r="A751" s="16">
        <v>2023</v>
      </c>
      <c r="B751" s="17" t="s">
        <v>12</v>
      </c>
      <c r="C751" s="17" t="s">
        <v>30</v>
      </c>
      <c r="D751" s="17" t="s">
        <v>24</v>
      </c>
      <c r="E751" s="18">
        <v>25428</v>
      </c>
      <c r="F751" s="19">
        <v>41184238.579999998</v>
      </c>
      <c r="G751" s="17">
        <v>4.9000000000000004</v>
      </c>
      <c r="H751" s="17">
        <v>78.09</v>
      </c>
      <c r="I751" s="17">
        <v>24.18</v>
      </c>
      <c r="J751" s="17">
        <v>262.01</v>
      </c>
      <c r="K751" s="17">
        <v>54.8</v>
      </c>
      <c r="L751" s="20" t="s">
        <v>21</v>
      </c>
    </row>
    <row r="752" spans="1:12" x14ac:dyDescent="0.25">
      <c r="A752" s="11">
        <v>2023</v>
      </c>
      <c r="B752" s="12" t="s">
        <v>12</v>
      </c>
      <c r="C752" s="12" t="s">
        <v>31</v>
      </c>
      <c r="D752" s="12" t="s">
        <v>24</v>
      </c>
      <c r="E752" s="13">
        <v>58459</v>
      </c>
      <c r="F752" s="14">
        <v>6197608.4639999997</v>
      </c>
      <c r="G752" s="12">
        <v>5.29</v>
      </c>
      <c r="H752" s="12">
        <v>65.56</v>
      </c>
      <c r="I752" s="12">
        <v>52.82</v>
      </c>
      <c r="J752" s="12">
        <v>231.91</v>
      </c>
      <c r="K752" s="12">
        <v>69.150000000000006</v>
      </c>
      <c r="L752" s="15" t="s">
        <v>19</v>
      </c>
    </row>
    <row r="753" spans="1:12" x14ac:dyDescent="0.25">
      <c r="A753" s="16">
        <v>2023</v>
      </c>
      <c r="B753" s="17" t="s">
        <v>12</v>
      </c>
      <c r="C753" s="17" t="s">
        <v>32</v>
      </c>
      <c r="D753" s="17" t="s">
        <v>24</v>
      </c>
      <c r="E753" s="18">
        <v>39916</v>
      </c>
      <c r="F753" s="19">
        <v>30964782.02</v>
      </c>
      <c r="G753" s="17">
        <v>5.5299999999999896</v>
      </c>
      <c r="H753" s="17">
        <v>47.84</v>
      </c>
      <c r="I753" s="17">
        <v>15.23</v>
      </c>
      <c r="J753" s="17">
        <v>260.8</v>
      </c>
      <c r="K753" s="17">
        <v>82.88</v>
      </c>
      <c r="L753" s="20" t="s">
        <v>19</v>
      </c>
    </row>
    <row r="754" spans="1:12" x14ac:dyDescent="0.25">
      <c r="A754" s="11">
        <v>2023</v>
      </c>
      <c r="B754" s="12" t="s">
        <v>12</v>
      </c>
      <c r="C754" s="12" t="s">
        <v>33</v>
      </c>
      <c r="D754" s="12" t="s">
        <v>24</v>
      </c>
      <c r="E754" s="13">
        <v>56785</v>
      </c>
      <c r="F754" s="14">
        <v>37101918.729999997</v>
      </c>
      <c r="G754" s="12">
        <v>4.21</v>
      </c>
      <c r="H754" s="12">
        <v>67.62</v>
      </c>
      <c r="I754" s="12">
        <v>43.79</v>
      </c>
      <c r="J754" s="12">
        <v>240.21</v>
      </c>
      <c r="K754" s="12">
        <v>75.959999999999994</v>
      </c>
      <c r="L754" s="15" t="s">
        <v>15</v>
      </c>
    </row>
    <row r="755" spans="1:12" x14ac:dyDescent="0.25">
      <c r="A755" s="16">
        <v>2023</v>
      </c>
      <c r="B755" s="17" t="s">
        <v>12</v>
      </c>
      <c r="C755" s="17" t="s">
        <v>34</v>
      </c>
      <c r="D755" s="17" t="s">
        <v>24</v>
      </c>
      <c r="E755" s="18">
        <v>11658</v>
      </c>
      <c r="F755" s="19">
        <v>14130688.68</v>
      </c>
      <c r="G755" s="17">
        <v>4.8099999999999996</v>
      </c>
      <c r="H755" s="17">
        <v>64.150000000000006</v>
      </c>
      <c r="I755" s="17">
        <v>50.51</v>
      </c>
      <c r="J755" s="17">
        <v>117.92</v>
      </c>
      <c r="K755" s="17">
        <v>62.56</v>
      </c>
      <c r="L755" s="20" t="s">
        <v>27</v>
      </c>
    </row>
    <row r="756" spans="1:12" x14ac:dyDescent="0.25">
      <c r="A756" s="11">
        <v>2023</v>
      </c>
      <c r="B756" s="12" t="s">
        <v>35</v>
      </c>
      <c r="C756" s="12" t="s">
        <v>13</v>
      </c>
      <c r="D756" s="12" t="s">
        <v>14</v>
      </c>
      <c r="E756" s="13">
        <v>28445</v>
      </c>
      <c r="F756" s="14">
        <v>23846107.199999999</v>
      </c>
      <c r="G756" s="12">
        <v>3.99</v>
      </c>
      <c r="H756" s="12">
        <v>46.8</v>
      </c>
      <c r="I756" s="12">
        <v>37.909999999999997</v>
      </c>
      <c r="J756" s="12">
        <v>175.6</v>
      </c>
      <c r="K756" s="12">
        <v>66.599999999999994</v>
      </c>
      <c r="L756" s="15" t="s">
        <v>27</v>
      </c>
    </row>
    <row r="757" spans="1:12" x14ac:dyDescent="0.25">
      <c r="A757" s="16">
        <v>2023</v>
      </c>
      <c r="B757" s="17" t="s">
        <v>35</v>
      </c>
      <c r="C757" s="17" t="s">
        <v>16</v>
      </c>
      <c r="D757" s="17" t="s">
        <v>14</v>
      </c>
      <c r="E757" s="18">
        <v>12074</v>
      </c>
      <c r="F757" s="19">
        <v>10953765.789999999</v>
      </c>
      <c r="G757" s="17">
        <v>1.67</v>
      </c>
      <c r="H757" s="17">
        <v>65.23</v>
      </c>
      <c r="I757" s="17">
        <v>47.14</v>
      </c>
      <c r="J757" s="17">
        <v>106.03</v>
      </c>
      <c r="K757" s="17">
        <v>70.52</v>
      </c>
      <c r="L757" s="20" t="s">
        <v>27</v>
      </c>
    </row>
    <row r="758" spans="1:12" x14ac:dyDescent="0.25">
      <c r="A758" s="11">
        <v>2023</v>
      </c>
      <c r="B758" s="12" t="s">
        <v>35</v>
      </c>
      <c r="C758" s="12" t="s">
        <v>18</v>
      </c>
      <c r="D758" s="12" t="s">
        <v>14</v>
      </c>
      <c r="E758" s="13">
        <v>24787</v>
      </c>
      <c r="F758" s="14">
        <v>11158722.59</v>
      </c>
      <c r="G758" s="12">
        <v>2.93</v>
      </c>
      <c r="H758" s="12">
        <v>73.150000000000006</v>
      </c>
      <c r="I758" s="12">
        <v>29.28</v>
      </c>
      <c r="J758" s="12">
        <v>138</v>
      </c>
      <c r="K758" s="12">
        <v>68.94</v>
      </c>
      <c r="L758" s="15" t="s">
        <v>27</v>
      </c>
    </row>
    <row r="759" spans="1:12" x14ac:dyDescent="0.25">
      <c r="A759" s="16">
        <v>2023</v>
      </c>
      <c r="B759" s="17" t="s">
        <v>35</v>
      </c>
      <c r="C759" s="17" t="s">
        <v>20</v>
      </c>
      <c r="D759" s="17" t="s">
        <v>14</v>
      </c>
      <c r="E759" s="18">
        <v>40418</v>
      </c>
      <c r="F759" s="19">
        <v>32030342.59</v>
      </c>
      <c r="G759" s="17">
        <v>1.77999999999999</v>
      </c>
      <c r="H759" s="17">
        <v>61.9</v>
      </c>
      <c r="I759" s="17">
        <v>24.69</v>
      </c>
      <c r="J759" s="17">
        <v>160.97999999999999</v>
      </c>
      <c r="K759" s="17">
        <v>45.26</v>
      </c>
      <c r="L759" s="20" t="s">
        <v>21</v>
      </c>
    </row>
    <row r="760" spans="1:12" x14ac:dyDescent="0.25">
      <c r="A760" s="11">
        <v>2023</v>
      </c>
      <c r="B760" s="12" t="s">
        <v>35</v>
      </c>
      <c r="C760" s="12" t="s">
        <v>22</v>
      </c>
      <c r="D760" s="12" t="s">
        <v>14</v>
      </c>
      <c r="E760" s="13">
        <v>34655</v>
      </c>
      <c r="F760" s="14">
        <v>5500615.1399999997</v>
      </c>
      <c r="G760" s="12">
        <v>0</v>
      </c>
      <c r="H760" s="12">
        <v>36.06</v>
      </c>
      <c r="I760" s="12">
        <v>47.06</v>
      </c>
      <c r="J760" s="12">
        <v>75.69</v>
      </c>
      <c r="K760" s="12">
        <v>57.66</v>
      </c>
      <c r="L760" s="15" t="s">
        <v>19</v>
      </c>
    </row>
    <row r="761" spans="1:12" x14ac:dyDescent="0.25">
      <c r="A761" s="16">
        <v>2023</v>
      </c>
      <c r="B761" s="17" t="s">
        <v>35</v>
      </c>
      <c r="C761" s="17" t="s">
        <v>23</v>
      </c>
      <c r="D761" s="17" t="s">
        <v>24</v>
      </c>
      <c r="E761" s="18">
        <v>18720</v>
      </c>
      <c r="F761" s="19">
        <v>45175723.359999999</v>
      </c>
      <c r="G761" s="17">
        <v>6.09</v>
      </c>
      <c r="H761" s="17">
        <v>77.17</v>
      </c>
      <c r="I761" s="17">
        <v>13.16</v>
      </c>
      <c r="J761" s="17">
        <v>95.71</v>
      </c>
      <c r="K761" s="17">
        <v>54.69</v>
      </c>
      <c r="L761" s="20" t="s">
        <v>17</v>
      </c>
    </row>
    <row r="762" spans="1:12" x14ac:dyDescent="0.25">
      <c r="A762" s="11">
        <v>2023</v>
      </c>
      <c r="B762" s="12" t="s">
        <v>35</v>
      </c>
      <c r="C762" s="12" t="s">
        <v>25</v>
      </c>
      <c r="D762" s="12" t="s">
        <v>24</v>
      </c>
      <c r="E762" s="13">
        <v>7111</v>
      </c>
      <c r="F762" s="14">
        <v>38171299.740000002</v>
      </c>
      <c r="G762" s="12">
        <v>4.9000000000000004</v>
      </c>
      <c r="H762" s="12">
        <v>94.2</v>
      </c>
      <c r="I762" s="12">
        <v>53.26</v>
      </c>
      <c r="J762" s="12">
        <v>269.75</v>
      </c>
      <c r="K762" s="12">
        <v>52.92</v>
      </c>
      <c r="L762" s="15" t="s">
        <v>15</v>
      </c>
    </row>
    <row r="763" spans="1:12" x14ac:dyDescent="0.25">
      <c r="A763" s="16">
        <v>2023</v>
      </c>
      <c r="B763" s="17" t="s">
        <v>35</v>
      </c>
      <c r="C763" s="17" t="s">
        <v>26</v>
      </c>
      <c r="D763" s="17" t="s">
        <v>24</v>
      </c>
      <c r="E763" s="18">
        <v>22044</v>
      </c>
      <c r="F763" s="19">
        <v>31012290.23</v>
      </c>
      <c r="G763" s="17">
        <v>5.12</v>
      </c>
      <c r="H763" s="17">
        <v>79.73</v>
      </c>
      <c r="I763" s="17">
        <v>37.979999999999997</v>
      </c>
      <c r="J763" s="17">
        <v>63.5</v>
      </c>
      <c r="K763" s="17">
        <v>81.510000000000005</v>
      </c>
      <c r="L763" s="20" t="s">
        <v>17</v>
      </c>
    </row>
    <row r="764" spans="1:12" x14ac:dyDescent="0.25">
      <c r="A764" s="11">
        <v>2023</v>
      </c>
      <c r="B764" s="12" t="s">
        <v>35</v>
      </c>
      <c r="C764" s="12" t="s">
        <v>28</v>
      </c>
      <c r="D764" s="12" t="s">
        <v>24</v>
      </c>
      <c r="E764" s="13">
        <v>14004</v>
      </c>
      <c r="F764" s="14">
        <v>7989841.6199999899</v>
      </c>
      <c r="G764" s="12">
        <v>3.37</v>
      </c>
      <c r="H764" s="12">
        <v>86.05</v>
      </c>
      <c r="I764" s="12">
        <v>18.510000000000002</v>
      </c>
      <c r="J764" s="12">
        <v>249.43</v>
      </c>
      <c r="K764" s="12">
        <v>45.62</v>
      </c>
      <c r="L764" s="15" t="s">
        <v>21</v>
      </c>
    </row>
    <row r="765" spans="1:12" x14ac:dyDescent="0.25">
      <c r="A765" s="16">
        <v>2023</v>
      </c>
      <c r="B765" s="17" t="s">
        <v>35</v>
      </c>
      <c r="C765" s="17" t="s">
        <v>29</v>
      </c>
      <c r="D765" s="17" t="s">
        <v>24</v>
      </c>
      <c r="E765" s="18">
        <v>55851</v>
      </c>
      <c r="F765" s="19">
        <v>19401460.379999999</v>
      </c>
      <c r="G765" s="17">
        <v>5.04</v>
      </c>
      <c r="H765" s="17">
        <v>98.87</v>
      </c>
      <c r="I765" s="17">
        <v>14.29</v>
      </c>
      <c r="J765" s="17">
        <v>187.41</v>
      </c>
      <c r="K765" s="17">
        <v>45.43</v>
      </c>
      <c r="L765" s="20" t="s">
        <v>17</v>
      </c>
    </row>
    <row r="766" spans="1:12" x14ac:dyDescent="0.25">
      <c r="A766" s="11">
        <v>2023</v>
      </c>
      <c r="B766" s="12" t="s">
        <v>35</v>
      </c>
      <c r="C766" s="12" t="s">
        <v>30</v>
      </c>
      <c r="D766" s="12" t="s">
        <v>24</v>
      </c>
      <c r="E766" s="13">
        <v>43275</v>
      </c>
      <c r="F766" s="14">
        <v>7555516.4280000003</v>
      </c>
      <c r="G766" s="12">
        <v>4.18</v>
      </c>
      <c r="H766" s="12">
        <v>44.77</v>
      </c>
      <c r="I766" s="12">
        <v>25.77</v>
      </c>
      <c r="J766" s="12">
        <v>214.9</v>
      </c>
      <c r="K766" s="12">
        <v>48.3</v>
      </c>
      <c r="L766" s="15" t="s">
        <v>17</v>
      </c>
    </row>
    <row r="767" spans="1:12" x14ac:dyDescent="0.25">
      <c r="A767" s="16">
        <v>2023</v>
      </c>
      <c r="B767" s="17" t="s">
        <v>35</v>
      </c>
      <c r="C767" s="17" t="s">
        <v>31</v>
      </c>
      <c r="D767" s="17" t="s">
        <v>24</v>
      </c>
      <c r="E767" s="18">
        <v>14970</v>
      </c>
      <c r="F767" s="19">
        <v>18515548.91</v>
      </c>
      <c r="G767" s="17">
        <v>6.32</v>
      </c>
      <c r="H767" s="17">
        <v>52.48</v>
      </c>
      <c r="I767" s="17">
        <v>25</v>
      </c>
      <c r="J767" s="17">
        <v>57.27</v>
      </c>
      <c r="K767" s="17">
        <v>51.12</v>
      </c>
      <c r="L767" s="20" t="s">
        <v>17</v>
      </c>
    </row>
    <row r="768" spans="1:12" x14ac:dyDescent="0.25">
      <c r="A768" s="11">
        <v>2023</v>
      </c>
      <c r="B768" s="12" t="s">
        <v>35</v>
      </c>
      <c r="C768" s="12" t="s">
        <v>32</v>
      </c>
      <c r="D768" s="12" t="s">
        <v>24</v>
      </c>
      <c r="E768" s="13">
        <v>37850</v>
      </c>
      <c r="F768" s="14">
        <v>11674638.720000001</v>
      </c>
      <c r="G768" s="12">
        <v>6.51</v>
      </c>
      <c r="H768" s="12">
        <v>65.650000000000006</v>
      </c>
      <c r="I768" s="12">
        <v>35.799999999999997</v>
      </c>
      <c r="J768" s="12">
        <v>210.17</v>
      </c>
      <c r="K768" s="12">
        <v>70.25</v>
      </c>
      <c r="L768" s="15" t="s">
        <v>19</v>
      </c>
    </row>
    <row r="769" spans="1:12" x14ac:dyDescent="0.25">
      <c r="A769" s="16">
        <v>2023</v>
      </c>
      <c r="B769" s="17" t="s">
        <v>35</v>
      </c>
      <c r="C769" s="17" t="s">
        <v>33</v>
      </c>
      <c r="D769" s="17" t="s">
        <v>24</v>
      </c>
      <c r="E769" s="18">
        <v>12105</v>
      </c>
      <c r="F769" s="19">
        <v>51838068.950000003</v>
      </c>
      <c r="G769" s="17">
        <v>5.2799999999999896</v>
      </c>
      <c r="H769" s="17">
        <v>77.760000000000005</v>
      </c>
      <c r="I769" s="17">
        <v>52.15</v>
      </c>
      <c r="J769" s="17">
        <v>51.12</v>
      </c>
      <c r="K769" s="17">
        <v>86.82</v>
      </c>
      <c r="L769" s="20" t="s">
        <v>17</v>
      </c>
    </row>
    <row r="770" spans="1:12" x14ac:dyDescent="0.25">
      <c r="A770" s="11">
        <v>2023</v>
      </c>
      <c r="B770" s="12" t="s">
        <v>35</v>
      </c>
      <c r="C770" s="12" t="s">
        <v>34</v>
      </c>
      <c r="D770" s="12" t="s">
        <v>24</v>
      </c>
      <c r="E770" s="13">
        <v>43400</v>
      </c>
      <c r="F770" s="14">
        <v>25193544.600000001</v>
      </c>
      <c r="G770" s="12">
        <v>2.97</v>
      </c>
      <c r="H770" s="12">
        <v>86.63</v>
      </c>
      <c r="I770" s="12">
        <v>52.81</v>
      </c>
      <c r="J770" s="12">
        <v>178.32</v>
      </c>
      <c r="K770" s="12">
        <v>45.09</v>
      </c>
      <c r="L770" s="15" t="s">
        <v>17</v>
      </c>
    </row>
    <row r="771" spans="1:12" x14ac:dyDescent="0.25">
      <c r="A771" s="16">
        <v>2023</v>
      </c>
      <c r="B771" s="17" t="s">
        <v>36</v>
      </c>
      <c r="C771" s="17" t="s">
        <v>13</v>
      </c>
      <c r="D771" s="17" t="s">
        <v>14</v>
      </c>
      <c r="E771" s="18">
        <v>45735</v>
      </c>
      <c r="F771" s="19">
        <v>2987436.3840000001</v>
      </c>
      <c r="G771" s="17">
        <v>0.26</v>
      </c>
      <c r="H771" s="17">
        <v>50.76</v>
      </c>
      <c r="I771" s="17">
        <v>9.67</v>
      </c>
      <c r="J771" s="17">
        <v>280.41000000000003</v>
      </c>
      <c r="K771" s="17">
        <v>64.86</v>
      </c>
      <c r="L771" s="20" t="s">
        <v>15</v>
      </c>
    </row>
    <row r="772" spans="1:12" x14ac:dyDescent="0.25">
      <c r="A772" s="11">
        <v>2023</v>
      </c>
      <c r="B772" s="12" t="s">
        <v>36</v>
      </c>
      <c r="C772" s="12" t="s">
        <v>16</v>
      </c>
      <c r="D772" s="12" t="s">
        <v>14</v>
      </c>
      <c r="E772" s="13">
        <v>14799</v>
      </c>
      <c r="F772" s="14">
        <v>4874859.7379999999</v>
      </c>
      <c r="G772" s="12">
        <v>3.39</v>
      </c>
      <c r="H772" s="12">
        <v>49.36</v>
      </c>
      <c r="I772" s="12">
        <v>15.579999999999901</v>
      </c>
      <c r="J772" s="12">
        <v>220.38</v>
      </c>
      <c r="K772" s="12">
        <v>51.94</v>
      </c>
      <c r="L772" s="15" t="s">
        <v>19</v>
      </c>
    </row>
    <row r="773" spans="1:12" x14ac:dyDescent="0.25">
      <c r="A773" s="16">
        <v>2023</v>
      </c>
      <c r="B773" s="17" t="s">
        <v>36</v>
      </c>
      <c r="C773" s="17" t="s">
        <v>18</v>
      </c>
      <c r="D773" s="17" t="s">
        <v>14</v>
      </c>
      <c r="E773" s="18">
        <v>42940</v>
      </c>
      <c r="F773" s="19">
        <v>4424999.4989999998</v>
      </c>
      <c r="G773" s="17">
        <v>0.59</v>
      </c>
      <c r="H773" s="17">
        <v>87.76</v>
      </c>
      <c r="I773" s="17">
        <v>46.41</v>
      </c>
      <c r="J773" s="17">
        <v>87.57</v>
      </c>
      <c r="K773" s="17">
        <v>83.22</v>
      </c>
      <c r="L773" s="20" t="s">
        <v>27</v>
      </c>
    </row>
    <row r="774" spans="1:12" x14ac:dyDescent="0.25">
      <c r="A774" s="11">
        <v>2023</v>
      </c>
      <c r="B774" s="12" t="s">
        <v>36</v>
      </c>
      <c r="C774" s="12" t="s">
        <v>20</v>
      </c>
      <c r="D774" s="12" t="s">
        <v>14</v>
      </c>
      <c r="E774" s="13">
        <v>46321</v>
      </c>
      <c r="F774" s="14">
        <v>12172734.050000001</v>
      </c>
      <c r="G774" s="12">
        <v>2.5</v>
      </c>
      <c r="H774" s="12">
        <v>44.49</v>
      </c>
      <c r="I774" s="12">
        <v>12.73</v>
      </c>
      <c r="J774" s="12">
        <v>238.14</v>
      </c>
      <c r="K774" s="12">
        <v>47.82</v>
      </c>
      <c r="L774" s="15" t="s">
        <v>27</v>
      </c>
    </row>
    <row r="775" spans="1:12" x14ac:dyDescent="0.25">
      <c r="A775" s="16">
        <v>2023</v>
      </c>
      <c r="B775" s="17" t="s">
        <v>36</v>
      </c>
      <c r="C775" s="17" t="s">
        <v>22</v>
      </c>
      <c r="D775" s="17" t="s">
        <v>14</v>
      </c>
      <c r="E775" s="18">
        <v>22101</v>
      </c>
      <c r="F775" s="19">
        <v>45898246.390000001</v>
      </c>
      <c r="G775" s="17">
        <v>0.35</v>
      </c>
      <c r="H775" s="17">
        <v>38.79</v>
      </c>
      <c r="I775" s="17">
        <v>27.92</v>
      </c>
      <c r="J775" s="17">
        <v>77.87</v>
      </c>
      <c r="K775" s="17">
        <v>49.98</v>
      </c>
      <c r="L775" s="20" t="s">
        <v>27</v>
      </c>
    </row>
    <row r="776" spans="1:12" x14ac:dyDescent="0.25">
      <c r="A776" s="11">
        <v>2023</v>
      </c>
      <c r="B776" s="12" t="s">
        <v>36</v>
      </c>
      <c r="C776" s="12" t="s">
        <v>23</v>
      </c>
      <c r="D776" s="12" t="s">
        <v>24</v>
      </c>
      <c r="E776" s="13">
        <v>18578</v>
      </c>
      <c r="F776" s="14">
        <v>35842354.880000003</v>
      </c>
      <c r="G776" s="12">
        <v>5.27</v>
      </c>
      <c r="H776" s="12">
        <v>41.64</v>
      </c>
      <c r="I776" s="12">
        <v>13.95</v>
      </c>
      <c r="J776" s="12">
        <v>192.01</v>
      </c>
      <c r="K776" s="12">
        <v>73.64</v>
      </c>
      <c r="L776" s="15" t="s">
        <v>21</v>
      </c>
    </row>
    <row r="777" spans="1:12" x14ac:dyDescent="0.25">
      <c r="A777" s="16">
        <v>2023</v>
      </c>
      <c r="B777" s="17" t="s">
        <v>36</v>
      </c>
      <c r="C777" s="17" t="s">
        <v>25</v>
      </c>
      <c r="D777" s="17" t="s">
        <v>24</v>
      </c>
      <c r="E777" s="18">
        <v>63804</v>
      </c>
      <c r="F777" s="19">
        <v>26099538.280000001</v>
      </c>
      <c r="G777" s="17">
        <v>2.5299999999999998</v>
      </c>
      <c r="H777" s="17">
        <v>49.54</v>
      </c>
      <c r="I777" s="17">
        <v>36.479999999999997</v>
      </c>
      <c r="J777" s="17">
        <v>168.21</v>
      </c>
      <c r="K777" s="17">
        <v>88.53</v>
      </c>
      <c r="L777" s="20" t="s">
        <v>21</v>
      </c>
    </row>
    <row r="778" spans="1:12" x14ac:dyDescent="0.25">
      <c r="A778" s="11">
        <v>2023</v>
      </c>
      <c r="B778" s="12" t="s">
        <v>36</v>
      </c>
      <c r="C778" s="12" t="s">
        <v>26</v>
      </c>
      <c r="D778" s="12" t="s">
        <v>24</v>
      </c>
      <c r="E778" s="13">
        <v>60353</v>
      </c>
      <c r="F778" s="14">
        <v>10771600.5239999</v>
      </c>
      <c r="G778" s="12">
        <v>3.43</v>
      </c>
      <c r="H778" s="12">
        <v>67.709999999999994</v>
      </c>
      <c r="I778" s="12">
        <v>35.68</v>
      </c>
      <c r="J778" s="12">
        <v>79.34</v>
      </c>
      <c r="K778" s="12">
        <v>58.28</v>
      </c>
      <c r="L778" s="15" t="s">
        <v>21</v>
      </c>
    </row>
    <row r="779" spans="1:12" x14ac:dyDescent="0.25">
      <c r="A779" s="16">
        <v>2023</v>
      </c>
      <c r="B779" s="17" t="s">
        <v>36</v>
      </c>
      <c r="C779" s="17" t="s">
        <v>28</v>
      </c>
      <c r="D779" s="17" t="s">
        <v>24</v>
      </c>
      <c r="E779" s="18">
        <v>56014</v>
      </c>
      <c r="F779" s="19">
        <v>38203293.829999998</v>
      </c>
      <c r="G779" s="17">
        <v>5.04</v>
      </c>
      <c r="H779" s="17">
        <v>92.55</v>
      </c>
      <c r="I779" s="17">
        <v>22.12</v>
      </c>
      <c r="J779" s="17">
        <v>50.37</v>
      </c>
      <c r="K779" s="17">
        <v>45.65</v>
      </c>
      <c r="L779" s="20" t="s">
        <v>15</v>
      </c>
    </row>
    <row r="780" spans="1:12" x14ac:dyDescent="0.25">
      <c r="A780" s="11">
        <v>2023</v>
      </c>
      <c r="B780" s="12" t="s">
        <v>36</v>
      </c>
      <c r="C780" s="12" t="s">
        <v>29</v>
      </c>
      <c r="D780" s="12" t="s">
        <v>24</v>
      </c>
      <c r="E780" s="13">
        <v>30009</v>
      </c>
      <c r="F780" s="14">
        <v>27935761.68</v>
      </c>
      <c r="G780" s="12">
        <v>5.49</v>
      </c>
      <c r="H780" s="12">
        <v>48.11</v>
      </c>
      <c r="I780" s="12">
        <v>22.61</v>
      </c>
      <c r="J780" s="12">
        <v>157</v>
      </c>
      <c r="K780" s="12">
        <v>94.16</v>
      </c>
      <c r="L780" s="15" t="s">
        <v>27</v>
      </c>
    </row>
    <row r="781" spans="1:12" x14ac:dyDescent="0.25">
      <c r="A781" s="16">
        <v>2023</v>
      </c>
      <c r="B781" s="17" t="s">
        <v>36</v>
      </c>
      <c r="C781" s="17" t="s">
        <v>30</v>
      </c>
      <c r="D781" s="17" t="s">
        <v>24</v>
      </c>
      <c r="E781" s="18">
        <v>11176</v>
      </c>
      <c r="F781" s="19">
        <v>41387013.969999999</v>
      </c>
      <c r="G781" s="17">
        <v>6.52</v>
      </c>
      <c r="H781" s="17">
        <v>59.53</v>
      </c>
      <c r="I781" s="17">
        <v>7.3599999999999897</v>
      </c>
      <c r="J781" s="17">
        <v>246.52</v>
      </c>
      <c r="K781" s="17">
        <v>46.97</v>
      </c>
      <c r="L781" s="20" t="s">
        <v>21</v>
      </c>
    </row>
    <row r="782" spans="1:12" x14ac:dyDescent="0.25">
      <c r="A782" s="11">
        <v>2023</v>
      </c>
      <c r="B782" s="12" t="s">
        <v>36</v>
      </c>
      <c r="C782" s="12" t="s">
        <v>31</v>
      </c>
      <c r="D782" s="12" t="s">
        <v>24</v>
      </c>
      <c r="E782" s="13">
        <v>35816</v>
      </c>
      <c r="F782" s="14">
        <v>11652906.140000001</v>
      </c>
      <c r="G782" s="12">
        <v>6.83</v>
      </c>
      <c r="H782" s="12">
        <v>52.51</v>
      </c>
      <c r="I782" s="12">
        <v>23.96</v>
      </c>
      <c r="J782" s="12">
        <v>85.44</v>
      </c>
      <c r="K782" s="12">
        <v>54.57</v>
      </c>
      <c r="L782" s="15" t="s">
        <v>21</v>
      </c>
    </row>
    <row r="783" spans="1:12" x14ac:dyDescent="0.25">
      <c r="A783" s="16">
        <v>2023</v>
      </c>
      <c r="B783" s="17" t="s">
        <v>36</v>
      </c>
      <c r="C783" s="17" t="s">
        <v>32</v>
      </c>
      <c r="D783" s="17" t="s">
        <v>24</v>
      </c>
      <c r="E783" s="18">
        <v>51399</v>
      </c>
      <c r="F783" s="19">
        <v>42332669.411999904</v>
      </c>
      <c r="G783" s="17">
        <v>4.71</v>
      </c>
      <c r="H783" s="17">
        <v>77.37</v>
      </c>
      <c r="I783" s="17">
        <v>33.159999999999997</v>
      </c>
      <c r="J783" s="17">
        <v>212.73</v>
      </c>
      <c r="K783" s="17">
        <v>87.94</v>
      </c>
      <c r="L783" s="20" t="s">
        <v>17</v>
      </c>
    </row>
    <row r="784" spans="1:12" x14ac:dyDescent="0.25">
      <c r="A784" s="11">
        <v>2023</v>
      </c>
      <c r="B784" s="12" t="s">
        <v>36</v>
      </c>
      <c r="C784" s="12" t="s">
        <v>33</v>
      </c>
      <c r="D784" s="12" t="s">
        <v>24</v>
      </c>
      <c r="E784" s="13">
        <v>25724</v>
      </c>
      <c r="F784" s="14">
        <v>4967036.6160000004</v>
      </c>
      <c r="G784" s="12">
        <v>2.8</v>
      </c>
      <c r="H784" s="12">
        <v>102.38</v>
      </c>
      <c r="I784" s="12">
        <v>45.67</v>
      </c>
      <c r="J784" s="12">
        <v>52.28</v>
      </c>
      <c r="K784" s="12">
        <v>75.87</v>
      </c>
      <c r="L784" s="15" t="s">
        <v>15</v>
      </c>
    </row>
    <row r="785" spans="1:12" x14ac:dyDescent="0.25">
      <c r="A785" s="16">
        <v>2023</v>
      </c>
      <c r="B785" s="17" t="s">
        <v>36</v>
      </c>
      <c r="C785" s="17" t="s">
        <v>34</v>
      </c>
      <c r="D785" s="17" t="s">
        <v>24</v>
      </c>
      <c r="E785" s="18">
        <v>19229</v>
      </c>
      <c r="F785" s="19">
        <v>37535867.520000003</v>
      </c>
      <c r="G785" s="17">
        <v>6.95</v>
      </c>
      <c r="H785" s="17">
        <v>71.89</v>
      </c>
      <c r="I785" s="17">
        <v>44.75</v>
      </c>
      <c r="J785" s="17">
        <v>122.87</v>
      </c>
      <c r="K785" s="17">
        <v>91.72</v>
      </c>
      <c r="L785" s="20" t="s">
        <v>17</v>
      </c>
    </row>
    <row r="786" spans="1:12" x14ac:dyDescent="0.25">
      <c r="A786" s="11">
        <v>2023</v>
      </c>
      <c r="B786" s="12" t="s">
        <v>37</v>
      </c>
      <c r="C786" s="12" t="s">
        <v>13</v>
      </c>
      <c r="D786" s="12" t="s">
        <v>14</v>
      </c>
      <c r="E786" s="13">
        <v>40560</v>
      </c>
      <c r="F786" s="14">
        <v>10240842.15</v>
      </c>
      <c r="G786" s="12">
        <v>1.06</v>
      </c>
      <c r="H786" s="12">
        <v>40.090000000000003</v>
      </c>
      <c r="I786" s="12">
        <v>30.86</v>
      </c>
      <c r="J786" s="12">
        <v>154.81</v>
      </c>
      <c r="K786" s="12">
        <v>68.239999999999995</v>
      </c>
      <c r="L786" s="15" t="s">
        <v>21</v>
      </c>
    </row>
    <row r="787" spans="1:12" x14ac:dyDescent="0.25">
      <c r="A787" s="16">
        <v>2023</v>
      </c>
      <c r="B787" s="17" t="s">
        <v>37</v>
      </c>
      <c r="C787" s="17" t="s">
        <v>16</v>
      </c>
      <c r="D787" s="17" t="s">
        <v>14</v>
      </c>
      <c r="E787" s="18">
        <v>35697</v>
      </c>
      <c r="F787" s="19">
        <v>19462564.98</v>
      </c>
      <c r="G787" s="17">
        <v>2.4900000000000002</v>
      </c>
      <c r="H787" s="17">
        <v>36.549999999999997</v>
      </c>
      <c r="I787" s="17">
        <v>36.44</v>
      </c>
      <c r="J787" s="17">
        <v>236.39</v>
      </c>
      <c r="K787" s="17">
        <v>47.11</v>
      </c>
      <c r="L787" s="20" t="s">
        <v>21</v>
      </c>
    </row>
    <row r="788" spans="1:12" x14ac:dyDescent="0.25">
      <c r="A788" s="11">
        <v>2023</v>
      </c>
      <c r="B788" s="12" t="s">
        <v>37</v>
      </c>
      <c r="C788" s="12" t="s">
        <v>18</v>
      </c>
      <c r="D788" s="12" t="s">
        <v>14</v>
      </c>
      <c r="E788" s="13">
        <v>47421</v>
      </c>
      <c r="F788" s="14">
        <v>4828393.0619999999</v>
      </c>
      <c r="G788" s="12">
        <v>0.34</v>
      </c>
      <c r="H788" s="12">
        <v>69.319999999999993</v>
      </c>
      <c r="I788" s="12">
        <v>14.16</v>
      </c>
      <c r="J788" s="12">
        <v>174.21</v>
      </c>
      <c r="K788" s="12">
        <v>73.78</v>
      </c>
      <c r="L788" s="15" t="s">
        <v>17</v>
      </c>
    </row>
    <row r="789" spans="1:12" x14ac:dyDescent="0.25">
      <c r="A789" s="16">
        <v>2023</v>
      </c>
      <c r="B789" s="17" t="s">
        <v>37</v>
      </c>
      <c r="C789" s="17" t="s">
        <v>20</v>
      </c>
      <c r="D789" s="17" t="s">
        <v>14</v>
      </c>
      <c r="E789" s="18">
        <v>36328</v>
      </c>
      <c r="F789" s="19">
        <v>33957658.93</v>
      </c>
      <c r="G789" s="17">
        <v>1.68</v>
      </c>
      <c r="H789" s="17">
        <v>25.34</v>
      </c>
      <c r="I789" s="17">
        <v>10.88</v>
      </c>
      <c r="J789" s="17">
        <v>248.93</v>
      </c>
      <c r="K789" s="17">
        <v>80.819999999999993</v>
      </c>
      <c r="L789" s="20" t="s">
        <v>19</v>
      </c>
    </row>
    <row r="790" spans="1:12" x14ac:dyDescent="0.25">
      <c r="A790" s="11">
        <v>2023</v>
      </c>
      <c r="B790" s="12" t="s">
        <v>37</v>
      </c>
      <c r="C790" s="12" t="s">
        <v>22</v>
      </c>
      <c r="D790" s="12" t="s">
        <v>14</v>
      </c>
      <c r="E790" s="13">
        <v>7177</v>
      </c>
      <c r="F790" s="14">
        <v>12756979.869999999</v>
      </c>
      <c r="G790" s="12">
        <v>3.84</v>
      </c>
      <c r="H790" s="12">
        <v>83.21</v>
      </c>
      <c r="I790" s="12">
        <v>46.58</v>
      </c>
      <c r="J790" s="12">
        <v>244.75</v>
      </c>
      <c r="K790" s="12">
        <v>58.59</v>
      </c>
      <c r="L790" s="15" t="s">
        <v>17</v>
      </c>
    </row>
    <row r="791" spans="1:12" x14ac:dyDescent="0.25">
      <c r="A791" s="16">
        <v>2023</v>
      </c>
      <c r="B791" s="17" t="s">
        <v>37</v>
      </c>
      <c r="C791" s="17" t="s">
        <v>23</v>
      </c>
      <c r="D791" s="17" t="s">
        <v>24</v>
      </c>
      <c r="E791" s="18">
        <v>26543</v>
      </c>
      <c r="F791" s="19">
        <v>22616882.710000001</v>
      </c>
      <c r="G791" s="17">
        <v>6.92</v>
      </c>
      <c r="H791" s="17">
        <v>47.63</v>
      </c>
      <c r="I791" s="17">
        <v>35.93</v>
      </c>
      <c r="J791" s="17">
        <v>142.99</v>
      </c>
      <c r="K791" s="17">
        <v>65.489999999999995</v>
      </c>
      <c r="L791" s="20" t="s">
        <v>27</v>
      </c>
    </row>
    <row r="792" spans="1:12" x14ac:dyDescent="0.25">
      <c r="A792" s="11">
        <v>2023</v>
      </c>
      <c r="B792" s="12" t="s">
        <v>37</v>
      </c>
      <c r="C792" s="12" t="s">
        <v>25</v>
      </c>
      <c r="D792" s="12" t="s">
        <v>24</v>
      </c>
      <c r="E792" s="13">
        <v>56191</v>
      </c>
      <c r="F792" s="14">
        <v>12240588.060000001</v>
      </c>
      <c r="G792" s="12">
        <v>6.71</v>
      </c>
      <c r="H792" s="12">
        <v>72.16</v>
      </c>
      <c r="I792" s="12">
        <v>7.12</v>
      </c>
      <c r="J792" s="12">
        <v>152.26</v>
      </c>
      <c r="K792" s="12">
        <v>87.72</v>
      </c>
      <c r="L792" s="15" t="s">
        <v>15</v>
      </c>
    </row>
    <row r="793" spans="1:12" x14ac:dyDescent="0.25">
      <c r="A793" s="16">
        <v>2023</v>
      </c>
      <c r="B793" s="17" t="s">
        <v>37</v>
      </c>
      <c r="C793" s="17" t="s">
        <v>26</v>
      </c>
      <c r="D793" s="17" t="s">
        <v>24</v>
      </c>
      <c r="E793" s="18">
        <v>31159</v>
      </c>
      <c r="F793" s="19">
        <v>41780958.789999999</v>
      </c>
      <c r="G793" s="17">
        <v>4.5599999999999996</v>
      </c>
      <c r="H793" s="17">
        <v>79.39</v>
      </c>
      <c r="I793" s="17">
        <v>20.12</v>
      </c>
      <c r="J793" s="17">
        <v>294.91000000000003</v>
      </c>
      <c r="K793" s="17">
        <v>53.57</v>
      </c>
      <c r="L793" s="20" t="s">
        <v>19</v>
      </c>
    </row>
    <row r="794" spans="1:12" x14ac:dyDescent="0.25">
      <c r="A794" s="11">
        <v>2023</v>
      </c>
      <c r="B794" s="12" t="s">
        <v>37</v>
      </c>
      <c r="C794" s="12" t="s">
        <v>28</v>
      </c>
      <c r="D794" s="12" t="s">
        <v>24</v>
      </c>
      <c r="E794" s="13">
        <v>61064</v>
      </c>
      <c r="F794" s="14">
        <v>65387195.350000001</v>
      </c>
      <c r="G794" s="12">
        <v>5.49</v>
      </c>
      <c r="H794" s="12">
        <v>85.64</v>
      </c>
      <c r="I794" s="12">
        <v>26.68</v>
      </c>
      <c r="J794" s="12">
        <v>170.74</v>
      </c>
      <c r="K794" s="12">
        <v>59.27</v>
      </c>
      <c r="L794" s="15" t="s">
        <v>15</v>
      </c>
    </row>
    <row r="795" spans="1:12" x14ac:dyDescent="0.25">
      <c r="A795" s="16">
        <v>2023</v>
      </c>
      <c r="B795" s="17" t="s">
        <v>37</v>
      </c>
      <c r="C795" s="17" t="s">
        <v>29</v>
      </c>
      <c r="D795" s="17" t="s">
        <v>24</v>
      </c>
      <c r="E795" s="18">
        <v>34138</v>
      </c>
      <c r="F795" s="19">
        <v>54539172.82</v>
      </c>
      <c r="G795" s="17">
        <v>5.92</v>
      </c>
      <c r="H795" s="17">
        <v>98.31</v>
      </c>
      <c r="I795" s="17">
        <v>21.34</v>
      </c>
      <c r="J795" s="17">
        <v>195.17</v>
      </c>
      <c r="K795" s="17">
        <v>79.73</v>
      </c>
      <c r="L795" s="20" t="s">
        <v>15</v>
      </c>
    </row>
    <row r="796" spans="1:12" x14ac:dyDescent="0.25">
      <c r="A796" s="11">
        <v>2023</v>
      </c>
      <c r="B796" s="12" t="s">
        <v>37</v>
      </c>
      <c r="C796" s="12" t="s">
        <v>30</v>
      </c>
      <c r="D796" s="12" t="s">
        <v>24</v>
      </c>
      <c r="E796" s="13">
        <v>36216</v>
      </c>
      <c r="F796" s="14">
        <v>29959374.23</v>
      </c>
      <c r="G796" s="12">
        <v>3.82</v>
      </c>
      <c r="H796" s="12">
        <v>70.59</v>
      </c>
      <c r="I796" s="12">
        <v>46.92</v>
      </c>
      <c r="J796" s="12">
        <v>177.43</v>
      </c>
      <c r="K796" s="12">
        <v>63.86</v>
      </c>
      <c r="L796" s="15" t="s">
        <v>17</v>
      </c>
    </row>
    <row r="797" spans="1:12" x14ac:dyDescent="0.25">
      <c r="A797" s="16">
        <v>2023</v>
      </c>
      <c r="B797" s="17" t="s">
        <v>37</v>
      </c>
      <c r="C797" s="17" t="s">
        <v>31</v>
      </c>
      <c r="D797" s="17" t="s">
        <v>24</v>
      </c>
      <c r="E797" s="18">
        <v>56470</v>
      </c>
      <c r="F797" s="19">
        <v>29368072.66</v>
      </c>
      <c r="G797" s="17">
        <v>5.15</v>
      </c>
      <c r="H797" s="17">
        <v>71.88</v>
      </c>
      <c r="I797" s="17">
        <v>21.15</v>
      </c>
      <c r="J797" s="17">
        <v>192.3</v>
      </c>
      <c r="K797" s="17">
        <v>46.87</v>
      </c>
      <c r="L797" s="20" t="s">
        <v>21</v>
      </c>
    </row>
    <row r="798" spans="1:12" x14ac:dyDescent="0.25">
      <c r="A798" s="11">
        <v>2023</v>
      </c>
      <c r="B798" s="12" t="s">
        <v>37</v>
      </c>
      <c r="C798" s="12" t="s">
        <v>32</v>
      </c>
      <c r="D798" s="12" t="s">
        <v>24</v>
      </c>
      <c r="E798" s="13">
        <v>50544</v>
      </c>
      <c r="F798" s="14">
        <v>43782286.43</v>
      </c>
      <c r="G798" s="12">
        <v>4.6399999999999997</v>
      </c>
      <c r="H798" s="12">
        <v>96.7</v>
      </c>
      <c r="I798" s="12">
        <v>13.78</v>
      </c>
      <c r="J798" s="12">
        <v>184.26</v>
      </c>
      <c r="K798" s="12">
        <v>51.56</v>
      </c>
      <c r="L798" s="15" t="s">
        <v>21</v>
      </c>
    </row>
    <row r="799" spans="1:12" x14ac:dyDescent="0.25">
      <c r="A799" s="16">
        <v>2023</v>
      </c>
      <c r="B799" s="17" t="s">
        <v>37</v>
      </c>
      <c r="C799" s="17" t="s">
        <v>33</v>
      </c>
      <c r="D799" s="17" t="s">
        <v>24</v>
      </c>
      <c r="E799" s="18">
        <v>8752</v>
      </c>
      <c r="F799" s="19">
        <v>38989375.219999999</v>
      </c>
      <c r="G799" s="17">
        <v>2.66</v>
      </c>
      <c r="H799" s="17">
        <v>83.21</v>
      </c>
      <c r="I799" s="17">
        <v>28.99</v>
      </c>
      <c r="J799" s="17">
        <v>286.82</v>
      </c>
      <c r="K799" s="17">
        <v>62.63</v>
      </c>
      <c r="L799" s="20" t="s">
        <v>27</v>
      </c>
    </row>
    <row r="800" spans="1:12" x14ac:dyDescent="0.25">
      <c r="A800" s="11">
        <v>2023</v>
      </c>
      <c r="B800" s="12" t="s">
        <v>37</v>
      </c>
      <c r="C800" s="12" t="s">
        <v>34</v>
      </c>
      <c r="D800" s="12" t="s">
        <v>24</v>
      </c>
      <c r="E800" s="13">
        <v>52161</v>
      </c>
      <c r="F800" s="14">
        <v>28251610.309999999</v>
      </c>
      <c r="G800" s="12">
        <v>4.47</v>
      </c>
      <c r="H800" s="12">
        <v>63.99</v>
      </c>
      <c r="I800" s="12">
        <v>48.56</v>
      </c>
      <c r="J800" s="12">
        <v>255.02</v>
      </c>
      <c r="K800" s="12">
        <v>48.38</v>
      </c>
      <c r="L800" s="15" t="s">
        <v>19</v>
      </c>
    </row>
    <row r="801" spans="1:12" x14ac:dyDescent="0.25">
      <c r="A801" s="16">
        <v>2023</v>
      </c>
      <c r="B801" s="17" t="s">
        <v>35</v>
      </c>
      <c r="C801" s="17" t="s">
        <v>18</v>
      </c>
      <c r="D801" s="17" t="s">
        <v>14</v>
      </c>
      <c r="E801" s="18">
        <v>24787</v>
      </c>
      <c r="F801" s="19">
        <v>11158722.59</v>
      </c>
      <c r="G801" s="17">
        <v>2.93</v>
      </c>
      <c r="H801" s="17">
        <v>73.150000000000006</v>
      </c>
      <c r="I801" s="17">
        <v>29.28</v>
      </c>
      <c r="J801" s="17">
        <v>138</v>
      </c>
      <c r="K801" s="17">
        <v>68.94</v>
      </c>
      <c r="L801" s="20" t="s">
        <v>27</v>
      </c>
    </row>
    <row r="802" spans="1:12" x14ac:dyDescent="0.25">
      <c r="A802" s="11">
        <v>2023</v>
      </c>
      <c r="B802" s="12" t="s">
        <v>37</v>
      </c>
      <c r="C802" s="12" t="s">
        <v>18</v>
      </c>
      <c r="D802" s="12" t="s">
        <v>14</v>
      </c>
      <c r="E802" s="13">
        <v>47421</v>
      </c>
      <c r="F802" s="14">
        <v>4828393.0619999999</v>
      </c>
      <c r="G802" s="12">
        <v>0.34</v>
      </c>
      <c r="H802" s="12">
        <v>69.319999999999993</v>
      </c>
      <c r="I802" s="12">
        <v>14.16</v>
      </c>
      <c r="J802" s="12">
        <v>174.21</v>
      </c>
      <c r="K802" s="12">
        <v>73.78</v>
      </c>
      <c r="L802" s="15" t="s">
        <v>17</v>
      </c>
    </row>
    <row r="803" spans="1:12" x14ac:dyDescent="0.25">
      <c r="A803" s="16">
        <v>2023</v>
      </c>
      <c r="B803" s="17" t="s">
        <v>12</v>
      </c>
      <c r="C803" s="17" t="s">
        <v>20</v>
      </c>
      <c r="D803" s="17" t="s">
        <v>14</v>
      </c>
      <c r="E803" s="18">
        <v>41459</v>
      </c>
      <c r="F803" s="19">
        <v>13687954.880000001</v>
      </c>
      <c r="G803" s="17">
        <v>-0.11</v>
      </c>
      <c r="H803" s="17">
        <v>62.18</v>
      </c>
      <c r="I803" s="17">
        <v>11.77</v>
      </c>
      <c r="J803" s="17">
        <v>287.5</v>
      </c>
      <c r="K803" s="17">
        <v>41.54</v>
      </c>
      <c r="L803" s="20" t="s">
        <v>17</v>
      </c>
    </row>
    <row r="804" spans="1:12" x14ac:dyDescent="0.25">
      <c r="A804" s="11">
        <v>2023</v>
      </c>
      <c r="B804" s="12" t="s">
        <v>12</v>
      </c>
      <c r="C804" s="12" t="s">
        <v>25</v>
      </c>
      <c r="D804" s="12" t="s">
        <v>24</v>
      </c>
      <c r="E804" s="13">
        <v>35503</v>
      </c>
      <c r="F804" s="14">
        <v>31844795.27</v>
      </c>
      <c r="G804" s="12">
        <v>3.87</v>
      </c>
      <c r="H804" s="12">
        <v>85.47</v>
      </c>
      <c r="I804" s="12">
        <v>48.17</v>
      </c>
      <c r="J804" s="12">
        <v>262.83999999999997</v>
      </c>
      <c r="K804" s="12">
        <v>68</v>
      </c>
      <c r="L804" s="15" t="s">
        <v>15</v>
      </c>
    </row>
    <row r="805" spans="1:12" x14ac:dyDescent="0.25">
      <c r="A805" s="16">
        <v>2023</v>
      </c>
      <c r="B805" s="17" t="s">
        <v>37</v>
      </c>
      <c r="C805" s="17" t="s">
        <v>29</v>
      </c>
      <c r="D805" s="17" t="s">
        <v>24</v>
      </c>
      <c r="E805" s="18">
        <v>34138</v>
      </c>
      <c r="F805" s="19">
        <v>54539172.82</v>
      </c>
      <c r="G805" s="17">
        <v>5.92</v>
      </c>
      <c r="H805" s="17">
        <v>98.31</v>
      </c>
      <c r="I805" s="17">
        <v>21.34</v>
      </c>
      <c r="J805" s="17">
        <v>195.17</v>
      </c>
      <c r="K805" s="17">
        <v>79.73</v>
      </c>
      <c r="L805" s="20" t="s">
        <v>15</v>
      </c>
    </row>
    <row r="806" spans="1:12" x14ac:dyDescent="0.25">
      <c r="A806" s="11">
        <v>2023</v>
      </c>
      <c r="B806" s="12" t="s">
        <v>36</v>
      </c>
      <c r="C806" s="12" t="s">
        <v>16</v>
      </c>
      <c r="D806" s="12" t="s">
        <v>14</v>
      </c>
      <c r="E806" s="13">
        <v>14799</v>
      </c>
      <c r="F806" s="14">
        <v>4874859.7379999999</v>
      </c>
      <c r="G806" s="12">
        <v>3.39</v>
      </c>
      <c r="H806" s="12">
        <v>49.36</v>
      </c>
      <c r="I806" s="12">
        <v>15.579999999999901</v>
      </c>
      <c r="J806" s="12">
        <v>220.38</v>
      </c>
      <c r="K806" s="12">
        <v>51.94</v>
      </c>
      <c r="L806" s="15" t="s">
        <v>19</v>
      </c>
    </row>
    <row r="807" spans="1:12" x14ac:dyDescent="0.25">
      <c r="A807" s="16">
        <v>2023</v>
      </c>
      <c r="B807" s="17" t="s">
        <v>35</v>
      </c>
      <c r="C807" s="17" t="s">
        <v>20</v>
      </c>
      <c r="D807" s="17" t="s">
        <v>14</v>
      </c>
      <c r="E807" s="18">
        <v>40418</v>
      </c>
      <c r="F807" s="19">
        <v>32030342.59</v>
      </c>
      <c r="G807" s="17">
        <v>1.77999999999999</v>
      </c>
      <c r="H807" s="17">
        <v>61.9</v>
      </c>
      <c r="I807" s="17">
        <v>24.69</v>
      </c>
      <c r="J807" s="17">
        <v>160.97999999999999</v>
      </c>
      <c r="K807" s="17">
        <v>45.26</v>
      </c>
      <c r="L807" s="20" t="s">
        <v>21</v>
      </c>
    </row>
    <row r="808" spans="1:12" x14ac:dyDescent="0.25">
      <c r="A808" s="11">
        <v>2023</v>
      </c>
      <c r="B808" s="12" t="s">
        <v>36</v>
      </c>
      <c r="C808" s="12" t="s">
        <v>23</v>
      </c>
      <c r="D808" s="12" t="s">
        <v>24</v>
      </c>
      <c r="E808" s="13">
        <v>18578</v>
      </c>
      <c r="F808" s="14">
        <v>35842354.880000003</v>
      </c>
      <c r="G808" s="12">
        <v>5.27</v>
      </c>
      <c r="H808" s="12">
        <v>41.64</v>
      </c>
      <c r="I808" s="12">
        <v>13.95</v>
      </c>
      <c r="J808" s="12">
        <v>192.01</v>
      </c>
      <c r="K808" s="12">
        <v>73.64</v>
      </c>
      <c r="L808" s="15" t="s">
        <v>21</v>
      </c>
    </row>
    <row r="809" spans="1:12" x14ac:dyDescent="0.25">
      <c r="A809" s="16">
        <v>2023</v>
      </c>
      <c r="B809" s="17" t="s">
        <v>35</v>
      </c>
      <c r="C809" s="17" t="s">
        <v>18</v>
      </c>
      <c r="D809" s="17" t="s">
        <v>14</v>
      </c>
      <c r="E809" s="18">
        <v>24787</v>
      </c>
      <c r="F809" s="19">
        <v>11158722.59</v>
      </c>
      <c r="G809" s="17">
        <v>2.93</v>
      </c>
      <c r="H809" s="17">
        <v>73.150000000000006</v>
      </c>
      <c r="I809" s="17">
        <v>29.28</v>
      </c>
      <c r="J809" s="17">
        <v>138</v>
      </c>
      <c r="K809" s="17">
        <v>68.94</v>
      </c>
      <c r="L809" s="20" t="s">
        <v>27</v>
      </c>
    </row>
    <row r="810" spans="1:12" x14ac:dyDescent="0.25">
      <c r="A810" s="11">
        <v>2023</v>
      </c>
      <c r="B810" s="12" t="s">
        <v>12</v>
      </c>
      <c r="C810" s="12" t="s">
        <v>16</v>
      </c>
      <c r="D810" s="12" t="s">
        <v>14</v>
      </c>
      <c r="E810" s="13">
        <v>14664</v>
      </c>
      <c r="F810" s="14">
        <v>15195950.99</v>
      </c>
      <c r="G810" s="12">
        <v>1.66</v>
      </c>
      <c r="H810" s="12">
        <v>62.66</v>
      </c>
      <c r="I810" s="12">
        <v>1.47</v>
      </c>
      <c r="J810" s="12">
        <v>171.98</v>
      </c>
      <c r="K810" s="12">
        <v>74.11</v>
      </c>
      <c r="L810" s="15" t="s">
        <v>21</v>
      </c>
    </row>
    <row r="811" spans="1:12" x14ac:dyDescent="0.25">
      <c r="A811" s="16">
        <v>2023</v>
      </c>
      <c r="B811" s="17" t="s">
        <v>35</v>
      </c>
      <c r="C811" s="17" t="s">
        <v>13</v>
      </c>
      <c r="D811" s="17" t="s">
        <v>14</v>
      </c>
      <c r="E811" s="18">
        <v>28445</v>
      </c>
      <c r="F811" s="19">
        <v>23846107.199999999</v>
      </c>
      <c r="G811" s="17">
        <v>3.99</v>
      </c>
      <c r="H811" s="17">
        <v>46.8</v>
      </c>
      <c r="I811" s="17">
        <v>37.909999999999997</v>
      </c>
      <c r="J811" s="17">
        <v>175.6</v>
      </c>
      <c r="K811" s="17">
        <v>66.599999999999994</v>
      </c>
      <c r="L811" s="20" t="s">
        <v>27</v>
      </c>
    </row>
    <row r="812" spans="1:12" x14ac:dyDescent="0.25">
      <c r="A812" s="11">
        <v>2023</v>
      </c>
      <c r="B812" s="12" t="s">
        <v>37</v>
      </c>
      <c r="C812" s="12" t="s">
        <v>29</v>
      </c>
      <c r="D812" s="12" t="s">
        <v>24</v>
      </c>
      <c r="E812" s="13">
        <v>34138</v>
      </c>
      <c r="F812" s="14">
        <v>54539172.82</v>
      </c>
      <c r="G812" s="12">
        <v>5.92</v>
      </c>
      <c r="H812" s="12">
        <v>98.31</v>
      </c>
      <c r="I812" s="12">
        <v>21.34</v>
      </c>
      <c r="J812" s="12">
        <v>195.17</v>
      </c>
      <c r="K812" s="12">
        <v>79.73</v>
      </c>
      <c r="L812" s="15" t="s">
        <v>15</v>
      </c>
    </row>
    <row r="813" spans="1:12" x14ac:dyDescent="0.25">
      <c r="A813" s="16">
        <v>2023</v>
      </c>
      <c r="B813" s="17" t="s">
        <v>36</v>
      </c>
      <c r="C813" s="17" t="s">
        <v>29</v>
      </c>
      <c r="D813" s="17" t="s">
        <v>24</v>
      </c>
      <c r="E813" s="18">
        <v>30009</v>
      </c>
      <c r="F813" s="19">
        <v>27935761.68</v>
      </c>
      <c r="G813" s="17">
        <v>5.49</v>
      </c>
      <c r="H813" s="17">
        <v>48.11</v>
      </c>
      <c r="I813" s="17">
        <v>22.61</v>
      </c>
      <c r="J813" s="17">
        <v>157</v>
      </c>
      <c r="K813" s="17">
        <v>94.16</v>
      </c>
      <c r="L813" s="20" t="s">
        <v>27</v>
      </c>
    </row>
    <row r="814" spans="1:12" x14ac:dyDescent="0.25">
      <c r="A814" s="11">
        <v>2023</v>
      </c>
      <c r="B814" s="12" t="s">
        <v>36</v>
      </c>
      <c r="C814" s="12" t="s">
        <v>32</v>
      </c>
      <c r="D814" s="12" t="s">
        <v>24</v>
      </c>
      <c r="E814" s="13">
        <v>51399</v>
      </c>
      <c r="F814" s="14">
        <v>42332669.411999904</v>
      </c>
      <c r="G814" s="12">
        <v>4.71</v>
      </c>
      <c r="H814" s="12">
        <v>77.37</v>
      </c>
      <c r="I814" s="12">
        <v>33.159999999999997</v>
      </c>
      <c r="J814" s="12">
        <v>212.73</v>
      </c>
      <c r="K814" s="12">
        <v>87.94</v>
      </c>
      <c r="L814" s="15" t="s">
        <v>17</v>
      </c>
    </row>
    <row r="815" spans="1:12" x14ac:dyDescent="0.25">
      <c r="A815" s="16">
        <v>2023</v>
      </c>
      <c r="B815" s="17" t="s">
        <v>36</v>
      </c>
      <c r="C815" s="17" t="s">
        <v>23</v>
      </c>
      <c r="D815" s="17" t="s">
        <v>24</v>
      </c>
      <c r="E815" s="18">
        <v>18578</v>
      </c>
      <c r="F815" s="19">
        <v>35842354.880000003</v>
      </c>
      <c r="G815" s="17">
        <v>5.27</v>
      </c>
      <c r="H815" s="17">
        <v>41.64</v>
      </c>
      <c r="I815" s="17">
        <v>13.95</v>
      </c>
      <c r="J815" s="17">
        <v>192.01</v>
      </c>
      <c r="K815" s="17">
        <v>73.64</v>
      </c>
      <c r="L815" s="20" t="s">
        <v>21</v>
      </c>
    </row>
    <row r="816" spans="1:12" x14ac:dyDescent="0.25">
      <c r="A816" s="11">
        <v>2023</v>
      </c>
      <c r="B816" s="12" t="s">
        <v>35</v>
      </c>
      <c r="C816" s="12" t="s">
        <v>20</v>
      </c>
      <c r="D816" s="12" t="s">
        <v>14</v>
      </c>
      <c r="E816" s="13">
        <v>40418</v>
      </c>
      <c r="F816" s="14">
        <v>32030342.59</v>
      </c>
      <c r="G816" s="12">
        <v>1.77999999999999</v>
      </c>
      <c r="H816" s="12">
        <v>61.9</v>
      </c>
      <c r="I816" s="12">
        <v>24.69</v>
      </c>
      <c r="J816" s="12">
        <v>160.97999999999999</v>
      </c>
      <c r="K816" s="12">
        <v>45.26</v>
      </c>
      <c r="L816" s="15" t="s">
        <v>21</v>
      </c>
    </row>
    <row r="817" spans="1:12" x14ac:dyDescent="0.25">
      <c r="A817" s="16">
        <v>2023</v>
      </c>
      <c r="B817" s="17" t="s">
        <v>12</v>
      </c>
      <c r="C817" s="17" t="s">
        <v>25</v>
      </c>
      <c r="D817" s="17" t="s">
        <v>24</v>
      </c>
      <c r="E817" s="18">
        <v>35503</v>
      </c>
      <c r="F817" s="19">
        <v>31844795.27</v>
      </c>
      <c r="G817" s="17">
        <v>3.87</v>
      </c>
      <c r="H817" s="17">
        <v>85.47</v>
      </c>
      <c r="I817" s="17">
        <v>48.17</v>
      </c>
      <c r="J817" s="17">
        <v>262.83999999999997</v>
      </c>
      <c r="K817" s="17">
        <v>68</v>
      </c>
      <c r="L817" s="20" t="s">
        <v>15</v>
      </c>
    </row>
    <row r="818" spans="1:12" x14ac:dyDescent="0.25">
      <c r="A818" s="11">
        <v>2023</v>
      </c>
      <c r="B818" s="12" t="s">
        <v>36</v>
      </c>
      <c r="C818" s="12" t="s">
        <v>31</v>
      </c>
      <c r="D818" s="12" t="s">
        <v>24</v>
      </c>
      <c r="E818" s="13">
        <v>35816</v>
      </c>
      <c r="F818" s="14">
        <v>11652906.140000001</v>
      </c>
      <c r="G818" s="12">
        <v>6.83</v>
      </c>
      <c r="H818" s="12">
        <v>52.51</v>
      </c>
      <c r="I818" s="12">
        <v>23.96</v>
      </c>
      <c r="J818" s="12">
        <v>85.44</v>
      </c>
      <c r="K818" s="12">
        <v>54.57</v>
      </c>
      <c r="L818" s="15" t="s">
        <v>21</v>
      </c>
    </row>
    <row r="819" spans="1:12" x14ac:dyDescent="0.25">
      <c r="A819" s="16">
        <v>2023</v>
      </c>
      <c r="B819" s="17" t="s">
        <v>12</v>
      </c>
      <c r="C819" s="17" t="s">
        <v>30</v>
      </c>
      <c r="D819" s="17" t="s">
        <v>24</v>
      </c>
      <c r="E819" s="18">
        <v>25428</v>
      </c>
      <c r="F819" s="19">
        <v>41184238.579999998</v>
      </c>
      <c r="G819" s="17">
        <v>4.9000000000000004</v>
      </c>
      <c r="H819" s="17">
        <v>78.09</v>
      </c>
      <c r="I819" s="17">
        <v>24.18</v>
      </c>
      <c r="J819" s="17">
        <v>262.01</v>
      </c>
      <c r="K819" s="17">
        <v>54.8</v>
      </c>
      <c r="L819" s="20" t="s">
        <v>21</v>
      </c>
    </row>
    <row r="820" spans="1:12" x14ac:dyDescent="0.25">
      <c r="A820" s="11">
        <v>2023</v>
      </c>
      <c r="B820" s="12" t="s">
        <v>37</v>
      </c>
      <c r="C820" s="12" t="s">
        <v>28</v>
      </c>
      <c r="D820" s="12" t="s">
        <v>24</v>
      </c>
      <c r="E820" s="13">
        <v>61064</v>
      </c>
      <c r="F820" s="14">
        <v>65387195.350000001</v>
      </c>
      <c r="G820" s="12">
        <v>5.49</v>
      </c>
      <c r="H820" s="12">
        <v>85.64</v>
      </c>
      <c r="I820" s="12">
        <v>26.68</v>
      </c>
      <c r="J820" s="12">
        <v>170.74</v>
      </c>
      <c r="K820" s="12">
        <v>59.27</v>
      </c>
      <c r="L820" s="15" t="s">
        <v>15</v>
      </c>
    </row>
    <row r="821" spans="1:12" x14ac:dyDescent="0.25">
      <c r="A821" s="16">
        <v>2023</v>
      </c>
      <c r="B821" s="17" t="s">
        <v>12</v>
      </c>
      <c r="C821" s="17" t="s">
        <v>28</v>
      </c>
      <c r="D821" s="17" t="s">
        <v>24</v>
      </c>
      <c r="E821" s="18">
        <v>36500</v>
      </c>
      <c r="F821" s="19">
        <v>11340925.859999999</v>
      </c>
      <c r="G821" s="17">
        <v>2.86</v>
      </c>
      <c r="H821" s="17">
        <v>98.22</v>
      </c>
      <c r="I821" s="17">
        <v>46.72</v>
      </c>
      <c r="J821" s="17">
        <v>177.9</v>
      </c>
      <c r="K821" s="17">
        <v>65.83</v>
      </c>
      <c r="L821" s="20" t="s">
        <v>15</v>
      </c>
    </row>
    <row r="822" spans="1:12" x14ac:dyDescent="0.25">
      <c r="A822" s="11">
        <v>2023</v>
      </c>
      <c r="B822" s="12" t="s">
        <v>36</v>
      </c>
      <c r="C822" s="12" t="s">
        <v>31</v>
      </c>
      <c r="D822" s="12" t="s">
        <v>24</v>
      </c>
      <c r="E822" s="13">
        <v>35816</v>
      </c>
      <c r="F822" s="14">
        <v>11652906.140000001</v>
      </c>
      <c r="G822" s="12">
        <v>6.83</v>
      </c>
      <c r="H822" s="12">
        <v>52.51</v>
      </c>
      <c r="I822" s="12">
        <v>23.96</v>
      </c>
      <c r="J822" s="12">
        <v>85.44</v>
      </c>
      <c r="K822" s="12">
        <v>54.57</v>
      </c>
      <c r="L822" s="15" t="s">
        <v>21</v>
      </c>
    </row>
    <row r="823" spans="1:12" x14ac:dyDescent="0.25">
      <c r="A823" s="16">
        <v>2023</v>
      </c>
      <c r="B823" s="17" t="s">
        <v>12</v>
      </c>
      <c r="C823" s="17" t="s">
        <v>23</v>
      </c>
      <c r="D823" s="17" t="s">
        <v>24</v>
      </c>
      <c r="E823" s="18">
        <v>42266</v>
      </c>
      <c r="F823" s="19">
        <v>25950100.260000002</v>
      </c>
      <c r="G823" s="17">
        <v>6.02</v>
      </c>
      <c r="H823" s="17">
        <v>55.39</v>
      </c>
      <c r="I823" s="17">
        <v>39.53</v>
      </c>
      <c r="J823" s="17">
        <v>262.25</v>
      </c>
      <c r="K823" s="17">
        <v>45.63</v>
      </c>
      <c r="L823" s="20" t="s">
        <v>15</v>
      </c>
    </row>
    <row r="824" spans="1:12" x14ac:dyDescent="0.25">
      <c r="A824" s="11">
        <v>2023</v>
      </c>
      <c r="B824" s="12" t="s">
        <v>35</v>
      </c>
      <c r="C824" s="12" t="s">
        <v>29</v>
      </c>
      <c r="D824" s="12" t="s">
        <v>24</v>
      </c>
      <c r="E824" s="13">
        <v>55851</v>
      </c>
      <c r="F824" s="14">
        <v>19401460.379999999</v>
      </c>
      <c r="G824" s="12">
        <v>5.04</v>
      </c>
      <c r="H824" s="12">
        <v>98.87</v>
      </c>
      <c r="I824" s="12">
        <v>14.29</v>
      </c>
      <c r="J824" s="12">
        <v>187.41</v>
      </c>
      <c r="K824" s="12">
        <v>45.43</v>
      </c>
      <c r="L824" s="15" t="s">
        <v>17</v>
      </c>
    </row>
    <row r="825" spans="1:12" x14ac:dyDescent="0.25">
      <c r="A825" s="16">
        <v>2023</v>
      </c>
      <c r="B825" s="17" t="s">
        <v>36</v>
      </c>
      <c r="C825" s="17" t="s">
        <v>26</v>
      </c>
      <c r="D825" s="17" t="s">
        <v>24</v>
      </c>
      <c r="E825" s="18">
        <v>60353</v>
      </c>
      <c r="F825" s="19">
        <v>10771600.5239999</v>
      </c>
      <c r="G825" s="17">
        <v>3.43</v>
      </c>
      <c r="H825" s="17">
        <v>67.709999999999994</v>
      </c>
      <c r="I825" s="17">
        <v>35.68</v>
      </c>
      <c r="J825" s="17">
        <v>79.34</v>
      </c>
      <c r="K825" s="17">
        <v>58.28</v>
      </c>
      <c r="L825" s="20" t="s">
        <v>21</v>
      </c>
    </row>
    <row r="826" spans="1:12" x14ac:dyDescent="0.25">
      <c r="A826" s="11">
        <v>2023</v>
      </c>
      <c r="B826" s="12" t="s">
        <v>35</v>
      </c>
      <c r="C826" s="12" t="s">
        <v>13</v>
      </c>
      <c r="D826" s="12" t="s">
        <v>14</v>
      </c>
      <c r="E826" s="13">
        <v>28445</v>
      </c>
      <c r="F826" s="14">
        <v>23846107.199999999</v>
      </c>
      <c r="G826" s="12">
        <v>3.99</v>
      </c>
      <c r="H826" s="12">
        <v>46.8</v>
      </c>
      <c r="I826" s="12">
        <v>37.909999999999997</v>
      </c>
      <c r="J826" s="12">
        <v>175.6</v>
      </c>
      <c r="K826" s="12">
        <v>66.599999999999994</v>
      </c>
      <c r="L826" s="15" t="s">
        <v>27</v>
      </c>
    </row>
    <row r="827" spans="1:12" x14ac:dyDescent="0.25">
      <c r="A827" s="16">
        <v>2023</v>
      </c>
      <c r="B827" s="17" t="s">
        <v>37</v>
      </c>
      <c r="C827" s="17" t="s">
        <v>34</v>
      </c>
      <c r="D827" s="17" t="s">
        <v>24</v>
      </c>
      <c r="E827" s="18">
        <v>52161</v>
      </c>
      <c r="F827" s="19">
        <v>28251610.309999999</v>
      </c>
      <c r="G827" s="17">
        <v>4.47</v>
      </c>
      <c r="H827" s="17">
        <v>63.99</v>
      </c>
      <c r="I827" s="17">
        <v>48.56</v>
      </c>
      <c r="J827" s="17">
        <v>255.02</v>
      </c>
      <c r="K827" s="17">
        <v>48.38</v>
      </c>
      <c r="L827" s="20" t="s">
        <v>19</v>
      </c>
    </row>
    <row r="828" spans="1:12" x14ac:dyDescent="0.25">
      <c r="A828" s="11">
        <v>2023</v>
      </c>
      <c r="B828" s="12" t="s">
        <v>37</v>
      </c>
      <c r="C828" s="12" t="s">
        <v>30</v>
      </c>
      <c r="D828" s="12" t="s">
        <v>24</v>
      </c>
      <c r="E828" s="13">
        <v>36216</v>
      </c>
      <c r="F828" s="14">
        <v>29959374.23</v>
      </c>
      <c r="G828" s="12">
        <v>3.82</v>
      </c>
      <c r="H828" s="12">
        <v>70.59</v>
      </c>
      <c r="I828" s="12">
        <v>46.92</v>
      </c>
      <c r="J828" s="12">
        <v>177.43</v>
      </c>
      <c r="K828" s="12">
        <v>63.86</v>
      </c>
      <c r="L828" s="15" t="s">
        <v>17</v>
      </c>
    </row>
    <row r="829" spans="1:12" x14ac:dyDescent="0.25">
      <c r="A829" s="16">
        <v>2023</v>
      </c>
      <c r="B829" s="17" t="s">
        <v>35</v>
      </c>
      <c r="C829" s="17" t="s">
        <v>20</v>
      </c>
      <c r="D829" s="17" t="s">
        <v>14</v>
      </c>
      <c r="E829" s="18">
        <v>40418</v>
      </c>
      <c r="F829" s="19">
        <v>32030342.59</v>
      </c>
      <c r="G829" s="17">
        <v>1.77999999999999</v>
      </c>
      <c r="H829" s="17">
        <v>61.9</v>
      </c>
      <c r="I829" s="17">
        <v>24.69</v>
      </c>
      <c r="J829" s="17">
        <v>160.97999999999999</v>
      </c>
      <c r="K829" s="17">
        <v>45.26</v>
      </c>
      <c r="L829" s="20" t="s">
        <v>21</v>
      </c>
    </row>
    <row r="830" spans="1:12" x14ac:dyDescent="0.25">
      <c r="A830" s="11">
        <v>2023</v>
      </c>
      <c r="B830" s="12" t="s">
        <v>37</v>
      </c>
      <c r="C830" s="12" t="s">
        <v>30</v>
      </c>
      <c r="D830" s="12" t="s">
        <v>24</v>
      </c>
      <c r="E830" s="13">
        <v>36216</v>
      </c>
      <c r="F830" s="14">
        <v>29959374.23</v>
      </c>
      <c r="G830" s="12">
        <v>3.82</v>
      </c>
      <c r="H830" s="12">
        <v>70.59</v>
      </c>
      <c r="I830" s="12">
        <v>46.92</v>
      </c>
      <c r="J830" s="12">
        <v>177.43</v>
      </c>
      <c r="K830" s="12">
        <v>63.86</v>
      </c>
      <c r="L830" s="15" t="s">
        <v>17</v>
      </c>
    </row>
    <row r="831" spans="1:12" x14ac:dyDescent="0.25">
      <c r="A831" s="16">
        <v>2023</v>
      </c>
      <c r="B831" s="17" t="s">
        <v>35</v>
      </c>
      <c r="C831" s="17" t="s">
        <v>30</v>
      </c>
      <c r="D831" s="17" t="s">
        <v>24</v>
      </c>
      <c r="E831" s="18">
        <v>43275</v>
      </c>
      <c r="F831" s="19">
        <v>7555516.4280000003</v>
      </c>
      <c r="G831" s="17">
        <v>4.18</v>
      </c>
      <c r="H831" s="17">
        <v>44.77</v>
      </c>
      <c r="I831" s="17">
        <v>25.77</v>
      </c>
      <c r="J831" s="17">
        <v>214.9</v>
      </c>
      <c r="K831" s="17">
        <v>48.3</v>
      </c>
      <c r="L831" s="20" t="s">
        <v>17</v>
      </c>
    </row>
    <row r="832" spans="1:12" x14ac:dyDescent="0.25">
      <c r="A832" s="11">
        <v>2023</v>
      </c>
      <c r="B832" s="12" t="s">
        <v>36</v>
      </c>
      <c r="C832" s="12" t="s">
        <v>23</v>
      </c>
      <c r="D832" s="12" t="s">
        <v>24</v>
      </c>
      <c r="E832" s="13">
        <v>18578</v>
      </c>
      <c r="F832" s="14">
        <v>35842354.880000003</v>
      </c>
      <c r="G832" s="12">
        <v>5.27</v>
      </c>
      <c r="H832" s="12">
        <v>41.64</v>
      </c>
      <c r="I832" s="12">
        <v>13.95</v>
      </c>
      <c r="J832" s="12">
        <v>192.01</v>
      </c>
      <c r="K832" s="12">
        <v>73.64</v>
      </c>
      <c r="L832" s="15" t="s">
        <v>21</v>
      </c>
    </row>
    <row r="833" spans="1:12" x14ac:dyDescent="0.25">
      <c r="A833" s="16">
        <v>2023</v>
      </c>
      <c r="B833" s="17" t="s">
        <v>36</v>
      </c>
      <c r="C833" s="17" t="s">
        <v>34</v>
      </c>
      <c r="D833" s="17" t="s">
        <v>24</v>
      </c>
      <c r="E833" s="18">
        <v>19229</v>
      </c>
      <c r="F833" s="19">
        <v>37535867.520000003</v>
      </c>
      <c r="G833" s="17">
        <v>6.95</v>
      </c>
      <c r="H833" s="17">
        <v>71.89</v>
      </c>
      <c r="I833" s="17">
        <v>44.75</v>
      </c>
      <c r="J833" s="17">
        <v>122.87</v>
      </c>
      <c r="K833" s="17">
        <v>91.72</v>
      </c>
      <c r="L833" s="20" t="s">
        <v>17</v>
      </c>
    </row>
    <row r="834" spans="1:12" x14ac:dyDescent="0.25">
      <c r="A834" s="11">
        <v>2023</v>
      </c>
      <c r="B834" s="12" t="s">
        <v>37</v>
      </c>
      <c r="C834" s="12" t="s">
        <v>18</v>
      </c>
      <c r="D834" s="12" t="s">
        <v>14</v>
      </c>
      <c r="E834" s="13">
        <v>47421</v>
      </c>
      <c r="F834" s="14">
        <v>4828393.0619999999</v>
      </c>
      <c r="G834" s="12">
        <v>0.34</v>
      </c>
      <c r="H834" s="12">
        <v>69.319999999999993</v>
      </c>
      <c r="I834" s="12">
        <v>14.16</v>
      </c>
      <c r="J834" s="12">
        <v>174.21</v>
      </c>
      <c r="K834" s="12">
        <v>73.78</v>
      </c>
      <c r="L834" s="15" t="s">
        <v>17</v>
      </c>
    </row>
    <row r="835" spans="1:12" x14ac:dyDescent="0.25">
      <c r="A835" s="16">
        <v>2023</v>
      </c>
      <c r="B835" s="17" t="s">
        <v>36</v>
      </c>
      <c r="C835" s="17" t="s">
        <v>31</v>
      </c>
      <c r="D835" s="17" t="s">
        <v>24</v>
      </c>
      <c r="E835" s="18">
        <v>35816</v>
      </c>
      <c r="F835" s="19">
        <v>11652906.140000001</v>
      </c>
      <c r="G835" s="17">
        <v>6.83</v>
      </c>
      <c r="H835" s="17">
        <v>52.51</v>
      </c>
      <c r="I835" s="17">
        <v>23.96</v>
      </c>
      <c r="J835" s="17">
        <v>85.44</v>
      </c>
      <c r="K835" s="17">
        <v>54.57</v>
      </c>
      <c r="L835" s="20" t="s">
        <v>21</v>
      </c>
    </row>
    <row r="836" spans="1:12" x14ac:dyDescent="0.25">
      <c r="A836" s="11">
        <v>2023</v>
      </c>
      <c r="B836" s="12" t="s">
        <v>35</v>
      </c>
      <c r="C836" s="12" t="s">
        <v>13</v>
      </c>
      <c r="D836" s="12" t="s">
        <v>14</v>
      </c>
      <c r="E836" s="13">
        <v>28445</v>
      </c>
      <c r="F836" s="14">
        <v>23846107.199999999</v>
      </c>
      <c r="G836" s="12">
        <v>3.99</v>
      </c>
      <c r="H836" s="12">
        <v>46.8</v>
      </c>
      <c r="I836" s="12">
        <v>37.909999999999997</v>
      </c>
      <c r="J836" s="12">
        <v>175.6</v>
      </c>
      <c r="K836" s="12">
        <v>66.599999999999994</v>
      </c>
      <c r="L836" s="15" t="s">
        <v>27</v>
      </c>
    </row>
    <row r="837" spans="1:12" x14ac:dyDescent="0.25">
      <c r="A837" s="16">
        <v>2023</v>
      </c>
      <c r="B837" s="17" t="s">
        <v>12</v>
      </c>
      <c r="C837" s="17" t="s">
        <v>20</v>
      </c>
      <c r="D837" s="17" t="s">
        <v>14</v>
      </c>
      <c r="E837" s="18">
        <v>41459</v>
      </c>
      <c r="F837" s="19">
        <v>13687954.880000001</v>
      </c>
      <c r="G837" s="17">
        <v>-0.11</v>
      </c>
      <c r="H837" s="17">
        <v>62.18</v>
      </c>
      <c r="I837" s="17">
        <v>11.77</v>
      </c>
      <c r="J837" s="17">
        <v>287.5</v>
      </c>
      <c r="K837" s="17">
        <v>41.54</v>
      </c>
      <c r="L837" s="20" t="s">
        <v>17</v>
      </c>
    </row>
    <row r="838" spans="1:12" x14ac:dyDescent="0.25">
      <c r="A838" s="11">
        <v>2023</v>
      </c>
      <c r="B838" s="12" t="s">
        <v>12</v>
      </c>
      <c r="C838" s="12" t="s">
        <v>28</v>
      </c>
      <c r="D838" s="12" t="s">
        <v>24</v>
      </c>
      <c r="E838" s="13">
        <v>36500</v>
      </c>
      <c r="F838" s="14">
        <v>11340925.859999999</v>
      </c>
      <c r="G838" s="12">
        <v>2.86</v>
      </c>
      <c r="H838" s="12">
        <v>98.22</v>
      </c>
      <c r="I838" s="12">
        <v>46.72</v>
      </c>
      <c r="J838" s="12">
        <v>177.9</v>
      </c>
      <c r="K838" s="12">
        <v>65.83</v>
      </c>
      <c r="L838" s="15" t="s">
        <v>15</v>
      </c>
    </row>
    <row r="839" spans="1:12" x14ac:dyDescent="0.25">
      <c r="A839" s="16">
        <v>2023</v>
      </c>
      <c r="B839" s="17" t="s">
        <v>37</v>
      </c>
      <c r="C839" s="17" t="s">
        <v>26</v>
      </c>
      <c r="D839" s="17" t="s">
        <v>24</v>
      </c>
      <c r="E839" s="18">
        <v>31159</v>
      </c>
      <c r="F839" s="19">
        <v>41780958.789999999</v>
      </c>
      <c r="G839" s="17">
        <v>4.5599999999999996</v>
      </c>
      <c r="H839" s="17">
        <v>79.39</v>
      </c>
      <c r="I839" s="17">
        <v>20.12</v>
      </c>
      <c r="J839" s="17">
        <v>294.91000000000003</v>
      </c>
      <c r="K839" s="17">
        <v>53.57</v>
      </c>
      <c r="L839" s="20" t="s">
        <v>19</v>
      </c>
    </row>
    <row r="840" spans="1:12" x14ac:dyDescent="0.25">
      <c r="A840" s="11">
        <v>2023</v>
      </c>
      <c r="B840" s="12" t="s">
        <v>35</v>
      </c>
      <c r="C840" s="12" t="s">
        <v>31</v>
      </c>
      <c r="D840" s="12" t="s">
        <v>24</v>
      </c>
      <c r="E840" s="13">
        <v>14970</v>
      </c>
      <c r="F840" s="14">
        <v>18515548.91</v>
      </c>
      <c r="G840" s="12">
        <v>6.32</v>
      </c>
      <c r="H840" s="12">
        <v>52.48</v>
      </c>
      <c r="I840" s="12">
        <v>25</v>
      </c>
      <c r="J840" s="12">
        <v>57.27</v>
      </c>
      <c r="K840" s="12">
        <v>51.12</v>
      </c>
      <c r="L840" s="15" t="s">
        <v>17</v>
      </c>
    </row>
    <row r="841" spans="1:12" x14ac:dyDescent="0.25">
      <c r="A841" s="16">
        <v>2023</v>
      </c>
      <c r="B841" s="17" t="s">
        <v>12</v>
      </c>
      <c r="C841" s="17" t="s">
        <v>32</v>
      </c>
      <c r="D841" s="17" t="s">
        <v>24</v>
      </c>
      <c r="E841" s="18">
        <v>39916</v>
      </c>
      <c r="F841" s="19">
        <v>30964782.02</v>
      </c>
      <c r="G841" s="17">
        <v>5.5299999999999896</v>
      </c>
      <c r="H841" s="17">
        <v>47.84</v>
      </c>
      <c r="I841" s="17">
        <v>15.23</v>
      </c>
      <c r="J841" s="17">
        <v>260.8</v>
      </c>
      <c r="K841" s="17">
        <v>82.88</v>
      </c>
      <c r="L841" s="20" t="s">
        <v>19</v>
      </c>
    </row>
    <row r="842" spans="1:12" x14ac:dyDescent="0.25">
      <c r="A842" s="11">
        <v>2023</v>
      </c>
      <c r="B842" s="12" t="s">
        <v>12</v>
      </c>
      <c r="C842" s="12" t="s">
        <v>34</v>
      </c>
      <c r="D842" s="12" t="s">
        <v>24</v>
      </c>
      <c r="E842" s="13">
        <v>11658</v>
      </c>
      <c r="F842" s="14">
        <v>14130688.68</v>
      </c>
      <c r="G842" s="12">
        <v>4.8099999999999996</v>
      </c>
      <c r="H842" s="12">
        <v>64.150000000000006</v>
      </c>
      <c r="I842" s="12">
        <v>50.51</v>
      </c>
      <c r="J842" s="12">
        <v>117.92</v>
      </c>
      <c r="K842" s="12">
        <v>62.56</v>
      </c>
      <c r="L842" s="15" t="s">
        <v>27</v>
      </c>
    </row>
    <row r="843" spans="1:12" x14ac:dyDescent="0.25">
      <c r="A843" s="16">
        <v>2023</v>
      </c>
      <c r="B843" s="17" t="s">
        <v>37</v>
      </c>
      <c r="C843" s="17" t="s">
        <v>30</v>
      </c>
      <c r="D843" s="17" t="s">
        <v>24</v>
      </c>
      <c r="E843" s="18">
        <v>36216</v>
      </c>
      <c r="F843" s="19">
        <v>29959374.23</v>
      </c>
      <c r="G843" s="17">
        <v>3.82</v>
      </c>
      <c r="H843" s="17">
        <v>70.59</v>
      </c>
      <c r="I843" s="17">
        <v>46.92</v>
      </c>
      <c r="J843" s="17">
        <v>177.43</v>
      </c>
      <c r="K843" s="17">
        <v>63.86</v>
      </c>
      <c r="L843" s="20" t="s">
        <v>17</v>
      </c>
    </row>
    <row r="844" spans="1:12" x14ac:dyDescent="0.25">
      <c r="A844" s="11">
        <v>2023</v>
      </c>
      <c r="B844" s="12" t="s">
        <v>37</v>
      </c>
      <c r="C844" s="12" t="s">
        <v>16</v>
      </c>
      <c r="D844" s="12" t="s">
        <v>14</v>
      </c>
      <c r="E844" s="13">
        <v>35697</v>
      </c>
      <c r="F844" s="14">
        <v>19462564.98</v>
      </c>
      <c r="G844" s="12">
        <v>2.4900000000000002</v>
      </c>
      <c r="H844" s="12">
        <v>36.549999999999997</v>
      </c>
      <c r="I844" s="12">
        <v>36.44</v>
      </c>
      <c r="J844" s="12">
        <v>236.39</v>
      </c>
      <c r="K844" s="12">
        <v>47.11</v>
      </c>
      <c r="L844" s="15" t="s">
        <v>21</v>
      </c>
    </row>
    <row r="845" spans="1:12" x14ac:dyDescent="0.25">
      <c r="A845" s="16">
        <v>2024</v>
      </c>
      <c r="B845" s="17" t="s">
        <v>12</v>
      </c>
      <c r="C845" s="17" t="s">
        <v>13</v>
      </c>
      <c r="D845" s="17" t="s">
        <v>14</v>
      </c>
      <c r="E845" s="18">
        <v>37131</v>
      </c>
      <c r="F845" s="19">
        <v>45587127.689999998</v>
      </c>
      <c r="G845" s="17">
        <v>0.59</v>
      </c>
      <c r="H845" s="17">
        <v>83.06</v>
      </c>
      <c r="I845" s="17">
        <v>0.33999999999999903</v>
      </c>
      <c r="J845" s="17">
        <v>274.2</v>
      </c>
      <c r="K845" s="17">
        <v>42.93</v>
      </c>
      <c r="L845" s="20" t="s">
        <v>21</v>
      </c>
    </row>
    <row r="846" spans="1:12" x14ac:dyDescent="0.25">
      <c r="A846" s="11">
        <v>2024</v>
      </c>
      <c r="B846" s="12" t="s">
        <v>12</v>
      </c>
      <c r="C846" s="12" t="s">
        <v>16</v>
      </c>
      <c r="D846" s="12" t="s">
        <v>14</v>
      </c>
      <c r="E846" s="13">
        <v>22947</v>
      </c>
      <c r="F846" s="14">
        <v>10581556.07</v>
      </c>
      <c r="G846" s="12">
        <v>2.0299999999999998</v>
      </c>
      <c r="H846" s="12">
        <v>51.05</v>
      </c>
      <c r="I846" s="12">
        <v>13.99</v>
      </c>
      <c r="J846" s="12">
        <v>62.01</v>
      </c>
      <c r="K846" s="12">
        <v>43.39</v>
      </c>
      <c r="L846" s="15" t="s">
        <v>27</v>
      </c>
    </row>
    <row r="847" spans="1:12" x14ac:dyDescent="0.25">
      <c r="A847" s="16">
        <v>2024</v>
      </c>
      <c r="B847" s="17" t="s">
        <v>12</v>
      </c>
      <c r="C847" s="17" t="s">
        <v>18</v>
      </c>
      <c r="D847" s="17" t="s">
        <v>14</v>
      </c>
      <c r="E847" s="18">
        <v>32783</v>
      </c>
      <c r="F847" s="19">
        <v>24954402.68</v>
      </c>
      <c r="G847" s="17">
        <v>-0.12</v>
      </c>
      <c r="H847" s="17">
        <v>68.38</v>
      </c>
      <c r="I847" s="17">
        <v>18.52</v>
      </c>
      <c r="J847" s="17">
        <v>165.62</v>
      </c>
      <c r="K847" s="17">
        <v>84.08</v>
      </c>
      <c r="L847" s="20" t="s">
        <v>15</v>
      </c>
    </row>
    <row r="848" spans="1:12" x14ac:dyDescent="0.25">
      <c r="A848" s="11">
        <v>2024</v>
      </c>
      <c r="B848" s="12" t="s">
        <v>12</v>
      </c>
      <c r="C848" s="12" t="s">
        <v>20</v>
      </c>
      <c r="D848" s="12" t="s">
        <v>14</v>
      </c>
      <c r="E848" s="13">
        <v>11825</v>
      </c>
      <c r="F848" s="14">
        <v>26416166.620000001</v>
      </c>
      <c r="G848" s="12">
        <v>3.72</v>
      </c>
      <c r="H848" s="12">
        <v>48.75</v>
      </c>
      <c r="I848" s="12">
        <v>13.42</v>
      </c>
      <c r="J848" s="12">
        <v>267.68</v>
      </c>
      <c r="K848" s="12">
        <v>82.48</v>
      </c>
      <c r="L848" s="15" t="s">
        <v>15</v>
      </c>
    </row>
    <row r="849" spans="1:12" x14ac:dyDescent="0.25">
      <c r="A849" s="16">
        <v>2024</v>
      </c>
      <c r="B849" s="17" t="s">
        <v>12</v>
      </c>
      <c r="C849" s="17" t="s">
        <v>22</v>
      </c>
      <c r="D849" s="17" t="s">
        <v>14</v>
      </c>
      <c r="E849" s="18">
        <v>11094</v>
      </c>
      <c r="F849" s="19">
        <v>32422221.329999998</v>
      </c>
      <c r="G849" s="17">
        <v>2.75</v>
      </c>
      <c r="H849" s="17">
        <v>69.33</v>
      </c>
      <c r="I849" s="17">
        <v>8.1999999999999993</v>
      </c>
      <c r="J849" s="17">
        <v>259.14999999999998</v>
      </c>
      <c r="K849" s="17">
        <v>73.14</v>
      </c>
      <c r="L849" s="20" t="s">
        <v>19</v>
      </c>
    </row>
    <row r="850" spans="1:12" x14ac:dyDescent="0.25">
      <c r="A850" s="11">
        <v>2024</v>
      </c>
      <c r="B850" s="12" t="s">
        <v>12</v>
      </c>
      <c r="C850" s="12" t="s">
        <v>23</v>
      </c>
      <c r="D850" s="12" t="s">
        <v>24</v>
      </c>
      <c r="E850" s="13">
        <v>54883</v>
      </c>
      <c r="F850" s="14">
        <v>29105714.760000002</v>
      </c>
      <c r="G850" s="12">
        <v>6.45</v>
      </c>
      <c r="H850" s="12">
        <v>41.13</v>
      </c>
      <c r="I850" s="12">
        <v>51.34</v>
      </c>
      <c r="J850" s="12">
        <v>117.64</v>
      </c>
      <c r="K850" s="12">
        <v>58.15</v>
      </c>
      <c r="L850" s="15" t="s">
        <v>21</v>
      </c>
    </row>
    <row r="851" spans="1:12" x14ac:dyDescent="0.25">
      <c r="A851" s="16">
        <v>2024</v>
      </c>
      <c r="B851" s="17" t="s">
        <v>12</v>
      </c>
      <c r="C851" s="17" t="s">
        <v>25</v>
      </c>
      <c r="D851" s="17" t="s">
        <v>24</v>
      </c>
      <c r="E851" s="18">
        <v>31220</v>
      </c>
      <c r="F851" s="19">
        <v>36722606.380000003</v>
      </c>
      <c r="G851" s="17">
        <v>6.53</v>
      </c>
      <c r="H851" s="17">
        <v>40.51</v>
      </c>
      <c r="I851" s="17">
        <v>32.239999999999903</v>
      </c>
      <c r="J851" s="17">
        <v>130.35</v>
      </c>
      <c r="K851" s="17">
        <v>80.87</v>
      </c>
      <c r="L851" s="20" t="s">
        <v>17</v>
      </c>
    </row>
    <row r="852" spans="1:12" x14ac:dyDescent="0.25">
      <c r="A852" s="11">
        <v>2024</v>
      </c>
      <c r="B852" s="12" t="s">
        <v>12</v>
      </c>
      <c r="C852" s="12" t="s">
        <v>26</v>
      </c>
      <c r="D852" s="12" t="s">
        <v>24</v>
      </c>
      <c r="E852" s="13">
        <v>11255</v>
      </c>
      <c r="F852" s="14">
        <v>40448789.530000001</v>
      </c>
      <c r="G852" s="12">
        <v>6.91</v>
      </c>
      <c r="H852" s="12">
        <v>69.89</v>
      </c>
      <c r="I852" s="12">
        <v>14.95</v>
      </c>
      <c r="J852" s="12">
        <v>211</v>
      </c>
      <c r="K852" s="12">
        <v>67.67</v>
      </c>
      <c r="L852" s="15" t="s">
        <v>21</v>
      </c>
    </row>
    <row r="853" spans="1:12" x14ac:dyDescent="0.25">
      <c r="A853" s="16">
        <v>2024</v>
      </c>
      <c r="B853" s="17" t="s">
        <v>12</v>
      </c>
      <c r="C853" s="17" t="s">
        <v>28</v>
      </c>
      <c r="D853" s="17" t="s">
        <v>24</v>
      </c>
      <c r="E853" s="18">
        <v>62968</v>
      </c>
      <c r="F853" s="19">
        <v>36037742.340000004</v>
      </c>
      <c r="G853" s="17">
        <v>3.27</v>
      </c>
      <c r="H853" s="17">
        <v>91.81</v>
      </c>
      <c r="I853" s="17">
        <v>35.090000000000003</v>
      </c>
      <c r="J853" s="17">
        <v>236.61</v>
      </c>
      <c r="K853" s="17">
        <v>93.38</v>
      </c>
      <c r="L853" s="20" t="s">
        <v>19</v>
      </c>
    </row>
    <row r="854" spans="1:12" x14ac:dyDescent="0.25">
      <c r="A854" s="11">
        <v>2024</v>
      </c>
      <c r="B854" s="12" t="s">
        <v>12</v>
      </c>
      <c r="C854" s="12" t="s">
        <v>29</v>
      </c>
      <c r="D854" s="12" t="s">
        <v>24</v>
      </c>
      <c r="E854" s="13">
        <v>57073</v>
      </c>
      <c r="F854" s="14">
        <v>27851665.91</v>
      </c>
      <c r="G854" s="12">
        <v>2.61</v>
      </c>
      <c r="H854" s="12">
        <v>66.33</v>
      </c>
      <c r="I854" s="12">
        <v>8.11</v>
      </c>
      <c r="J854" s="12">
        <v>196.33</v>
      </c>
      <c r="K854" s="12">
        <v>89.62</v>
      </c>
      <c r="L854" s="15" t="s">
        <v>17</v>
      </c>
    </row>
    <row r="855" spans="1:12" x14ac:dyDescent="0.25">
      <c r="A855" s="16">
        <v>2024</v>
      </c>
      <c r="B855" s="17" t="s">
        <v>12</v>
      </c>
      <c r="C855" s="17" t="s">
        <v>30</v>
      </c>
      <c r="D855" s="17" t="s">
        <v>24</v>
      </c>
      <c r="E855" s="18">
        <v>43911</v>
      </c>
      <c r="F855" s="19">
        <v>45501962.543999903</v>
      </c>
      <c r="G855" s="17">
        <v>4.21</v>
      </c>
      <c r="H855" s="17">
        <v>45.54</v>
      </c>
      <c r="I855" s="17">
        <v>47.18</v>
      </c>
      <c r="J855" s="17">
        <v>293.87</v>
      </c>
      <c r="K855" s="17">
        <v>46.55</v>
      </c>
      <c r="L855" s="20" t="s">
        <v>27</v>
      </c>
    </row>
    <row r="856" spans="1:12" x14ac:dyDescent="0.25">
      <c r="A856" s="11">
        <v>2024</v>
      </c>
      <c r="B856" s="12" t="s">
        <v>12</v>
      </c>
      <c r="C856" s="12" t="s">
        <v>31</v>
      </c>
      <c r="D856" s="12" t="s">
        <v>24</v>
      </c>
      <c r="E856" s="13">
        <v>6628</v>
      </c>
      <c r="F856" s="14">
        <v>36995468.590000004</v>
      </c>
      <c r="G856" s="12">
        <v>4.8099999999999996</v>
      </c>
      <c r="H856" s="12">
        <v>93.86</v>
      </c>
      <c r="I856" s="12">
        <v>26.43</v>
      </c>
      <c r="J856" s="12">
        <v>157.51</v>
      </c>
      <c r="K856" s="12">
        <v>45.53</v>
      </c>
      <c r="L856" s="15" t="s">
        <v>27</v>
      </c>
    </row>
    <row r="857" spans="1:12" x14ac:dyDescent="0.25">
      <c r="A857" s="16">
        <v>2024</v>
      </c>
      <c r="B857" s="17" t="s">
        <v>12</v>
      </c>
      <c r="C857" s="17" t="s">
        <v>32</v>
      </c>
      <c r="D857" s="17" t="s">
        <v>24</v>
      </c>
      <c r="E857" s="18">
        <v>54366</v>
      </c>
      <c r="F857" s="19">
        <v>58337180.299999997</v>
      </c>
      <c r="G857" s="17">
        <v>2.87</v>
      </c>
      <c r="H857" s="17">
        <v>90.7</v>
      </c>
      <c r="I857" s="17">
        <v>13.54</v>
      </c>
      <c r="J857" s="17">
        <v>83.75</v>
      </c>
      <c r="K857" s="17">
        <v>56.88</v>
      </c>
      <c r="L857" s="20" t="s">
        <v>15</v>
      </c>
    </row>
    <row r="858" spans="1:12" x14ac:dyDescent="0.25">
      <c r="A858" s="11">
        <v>2024</v>
      </c>
      <c r="B858" s="12" t="s">
        <v>12</v>
      </c>
      <c r="C858" s="12" t="s">
        <v>33</v>
      </c>
      <c r="D858" s="12" t="s">
        <v>24</v>
      </c>
      <c r="E858" s="13">
        <v>43162</v>
      </c>
      <c r="F858" s="14">
        <v>43400860.595999897</v>
      </c>
      <c r="G858" s="12">
        <v>3.11</v>
      </c>
      <c r="H858" s="12">
        <v>73.38</v>
      </c>
      <c r="I858" s="12">
        <v>46.43</v>
      </c>
      <c r="J858" s="12">
        <v>195.74</v>
      </c>
      <c r="K858" s="12">
        <v>49.58</v>
      </c>
      <c r="L858" s="15" t="s">
        <v>19</v>
      </c>
    </row>
    <row r="859" spans="1:12" x14ac:dyDescent="0.25">
      <c r="A859" s="16">
        <v>2024</v>
      </c>
      <c r="B859" s="17" t="s">
        <v>12</v>
      </c>
      <c r="C859" s="17" t="s">
        <v>34</v>
      </c>
      <c r="D859" s="17" t="s">
        <v>24</v>
      </c>
      <c r="E859" s="18">
        <v>24624</v>
      </c>
      <c r="F859" s="19">
        <v>36547057.850000001</v>
      </c>
      <c r="G859" s="17">
        <v>6.92</v>
      </c>
      <c r="H859" s="17">
        <v>54.55</v>
      </c>
      <c r="I859" s="17">
        <v>50.77</v>
      </c>
      <c r="J859" s="17">
        <v>120.07</v>
      </c>
      <c r="K859" s="17">
        <v>50.72</v>
      </c>
      <c r="L859" s="20" t="s">
        <v>21</v>
      </c>
    </row>
    <row r="860" spans="1:12" x14ac:dyDescent="0.25">
      <c r="A860" s="11">
        <v>2024</v>
      </c>
      <c r="B860" s="12" t="s">
        <v>35</v>
      </c>
      <c r="C860" s="12" t="s">
        <v>13</v>
      </c>
      <c r="D860" s="12" t="s">
        <v>14</v>
      </c>
      <c r="E860" s="13">
        <v>26237</v>
      </c>
      <c r="F860" s="14">
        <v>30930455.537999999</v>
      </c>
      <c r="G860" s="12">
        <v>2.72</v>
      </c>
      <c r="H860" s="12">
        <v>30.37</v>
      </c>
      <c r="I860" s="12">
        <v>43.72</v>
      </c>
      <c r="J860" s="12">
        <v>205.74</v>
      </c>
      <c r="K860" s="12">
        <v>48.09</v>
      </c>
      <c r="L860" s="15" t="s">
        <v>19</v>
      </c>
    </row>
    <row r="861" spans="1:12" x14ac:dyDescent="0.25">
      <c r="A861" s="16">
        <v>2024</v>
      </c>
      <c r="B861" s="17" t="s">
        <v>35</v>
      </c>
      <c r="C861" s="17" t="s">
        <v>16</v>
      </c>
      <c r="D861" s="17" t="s">
        <v>14</v>
      </c>
      <c r="E861" s="18">
        <v>22269</v>
      </c>
      <c r="F861" s="19">
        <v>16275671.49</v>
      </c>
      <c r="G861" s="17">
        <v>2.2400000000000002</v>
      </c>
      <c r="H861" s="17">
        <v>67.36</v>
      </c>
      <c r="I861" s="17">
        <v>2.27</v>
      </c>
      <c r="J861" s="17">
        <v>216.59</v>
      </c>
      <c r="K861" s="17">
        <v>73.239999999999995</v>
      </c>
      <c r="L861" s="20" t="s">
        <v>21</v>
      </c>
    </row>
    <row r="862" spans="1:12" x14ac:dyDescent="0.25">
      <c r="A862" s="11">
        <v>2024</v>
      </c>
      <c r="B862" s="12" t="s">
        <v>35</v>
      </c>
      <c r="C862" s="12" t="s">
        <v>18</v>
      </c>
      <c r="D862" s="12" t="s">
        <v>14</v>
      </c>
      <c r="E862" s="13">
        <v>27314</v>
      </c>
      <c r="F862" s="14">
        <v>25415808.77</v>
      </c>
      <c r="G862" s="12">
        <v>0.48</v>
      </c>
      <c r="H862" s="12">
        <v>88.91</v>
      </c>
      <c r="I862" s="12">
        <v>13.08</v>
      </c>
      <c r="J862" s="12">
        <v>84.12</v>
      </c>
      <c r="K862" s="12">
        <v>40.119999999999997</v>
      </c>
      <c r="L862" s="15" t="s">
        <v>27</v>
      </c>
    </row>
    <row r="863" spans="1:12" x14ac:dyDescent="0.25">
      <c r="A863" s="16">
        <v>2024</v>
      </c>
      <c r="B863" s="17" t="s">
        <v>35</v>
      </c>
      <c r="C863" s="17" t="s">
        <v>20</v>
      </c>
      <c r="D863" s="17" t="s">
        <v>14</v>
      </c>
      <c r="E863" s="18">
        <v>18938</v>
      </c>
      <c r="F863" s="19">
        <v>16203612.710000001</v>
      </c>
      <c r="G863" s="17">
        <v>3.04</v>
      </c>
      <c r="H863" s="17">
        <v>84.26</v>
      </c>
      <c r="I863" s="17">
        <v>14.97</v>
      </c>
      <c r="J863" s="17">
        <v>201.33</v>
      </c>
      <c r="K863" s="17">
        <v>75.69</v>
      </c>
      <c r="L863" s="20" t="s">
        <v>27</v>
      </c>
    </row>
    <row r="864" spans="1:12" x14ac:dyDescent="0.25">
      <c r="A864" s="11">
        <v>2024</v>
      </c>
      <c r="B864" s="12" t="s">
        <v>35</v>
      </c>
      <c r="C864" s="12" t="s">
        <v>22</v>
      </c>
      <c r="D864" s="12" t="s">
        <v>14</v>
      </c>
      <c r="E864" s="13">
        <v>14478</v>
      </c>
      <c r="F864" s="14">
        <v>46356728.390000001</v>
      </c>
      <c r="G864" s="12">
        <v>1.47</v>
      </c>
      <c r="H864" s="12">
        <v>44.98</v>
      </c>
      <c r="I864" s="12">
        <v>31.83</v>
      </c>
      <c r="J864" s="12">
        <v>190.4</v>
      </c>
      <c r="K864" s="12">
        <v>78.16</v>
      </c>
      <c r="L864" s="15" t="s">
        <v>17</v>
      </c>
    </row>
    <row r="865" spans="1:12" x14ac:dyDescent="0.25">
      <c r="A865" s="16">
        <v>2024</v>
      </c>
      <c r="B865" s="17" t="s">
        <v>35</v>
      </c>
      <c r="C865" s="17" t="s">
        <v>23</v>
      </c>
      <c r="D865" s="17" t="s">
        <v>24</v>
      </c>
      <c r="E865" s="18">
        <v>64381</v>
      </c>
      <c r="F865" s="19">
        <v>8891741.3399999999</v>
      </c>
      <c r="G865" s="17">
        <v>3.46</v>
      </c>
      <c r="H865" s="17">
        <v>81.540000000000006</v>
      </c>
      <c r="I865" s="17">
        <v>25.48</v>
      </c>
      <c r="J865" s="17">
        <v>147.47999999999999</v>
      </c>
      <c r="K865" s="17">
        <v>52.94</v>
      </c>
      <c r="L865" s="20" t="s">
        <v>21</v>
      </c>
    </row>
    <row r="866" spans="1:12" x14ac:dyDescent="0.25">
      <c r="A866" s="11">
        <v>2024</v>
      </c>
      <c r="B866" s="12" t="s">
        <v>35</v>
      </c>
      <c r="C866" s="12" t="s">
        <v>25</v>
      </c>
      <c r="D866" s="12" t="s">
        <v>24</v>
      </c>
      <c r="E866" s="13">
        <v>33515</v>
      </c>
      <c r="F866" s="14">
        <v>35787763.82</v>
      </c>
      <c r="G866" s="12">
        <v>4.3</v>
      </c>
      <c r="H866" s="12">
        <v>82.09</v>
      </c>
      <c r="I866" s="12">
        <v>44.83</v>
      </c>
      <c r="J866" s="12">
        <v>256.14</v>
      </c>
      <c r="K866" s="12">
        <v>51.86</v>
      </c>
      <c r="L866" s="15" t="s">
        <v>17</v>
      </c>
    </row>
    <row r="867" spans="1:12" x14ac:dyDescent="0.25">
      <c r="A867" s="16">
        <v>2024</v>
      </c>
      <c r="B867" s="17" t="s">
        <v>35</v>
      </c>
      <c r="C867" s="17" t="s">
        <v>26</v>
      </c>
      <c r="D867" s="17" t="s">
        <v>24</v>
      </c>
      <c r="E867" s="18">
        <v>14587</v>
      </c>
      <c r="F867" s="19">
        <v>28041204.800000001</v>
      </c>
      <c r="G867" s="17">
        <v>2.85</v>
      </c>
      <c r="H867" s="17">
        <v>53.66</v>
      </c>
      <c r="I867" s="17">
        <v>51.8</v>
      </c>
      <c r="J867" s="17">
        <v>126.75</v>
      </c>
      <c r="K867" s="17">
        <v>94.43</v>
      </c>
      <c r="L867" s="20" t="s">
        <v>15</v>
      </c>
    </row>
    <row r="868" spans="1:12" x14ac:dyDescent="0.25">
      <c r="A868" s="11">
        <v>2024</v>
      </c>
      <c r="B868" s="12" t="s">
        <v>35</v>
      </c>
      <c r="C868" s="12" t="s">
        <v>28</v>
      </c>
      <c r="D868" s="12" t="s">
        <v>24</v>
      </c>
      <c r="E868" s="13">
        <v>47712</v>
      </c>
      <c r="F868" s="14">
        <v>18117011.059999999</v>
      </c>
      <c r="G868" s="12">
        <v>3.62</v>
      </c>
      <c r="H868" s="12">
        <v>64.38</v>
      </c>
      <c r="I868" s="12">
        <v>33.69</v>
      </c>
      <c r="J868" s="12">
        <v>172.94</v>
      </c>
      <c r="K868" s="12">
        <v>72.78</v>
      </c>
      <c r="L868" s="15" t="s">
        <v>21</v>
      </c>
    </row>
    <row r="869" spans="1:12" x14ac:dyDescent="0.25">
      <c r="A869" s="16">
        <v>2024</v>
      </c>
      <c r="B869" s="17" t="s">
        <v>35</v>
      </c>
      <c r="C869" s="17" t="s">
        <v>29</v>
      </c>
      <c r="D869" s="17" t="s">
        <v>24</v>
      </c>
      <c r="E869" s="18">
        <v>24276</v>
      </c>
      <c r="F869" s="19">
        <v>82025137.200000003</v>
      </c>
      <c r="G869" s="17">
        <v>6.27</v>
      </c>
      <c r="H869" s="17">
        <v>51.96</v>
      </c>
      <c r="I869" s="17">
        <v>37.97</v>
      </c>
      <c r="J869" s="17">
        <v>177.35</v>
      </c>
      <c r="K869" s="17">
        <v>73.86</v>
      </c>
      <c r="L869" s="20" t="s">
        <v>17</v>
      </c>
    </row>
    <row r="870" spans="1:12" x14ac:dyDescent="0.25">
      <c r="A870" s="11">
        <v>2024</v>
      </c>
      <c r="B870" s="12" t="s">
        <v>35</v>
      </c>
      <c r="C870" s="12" t="s">
        <v>30</v>
      </c>
      <c r="D870" s="12" t="s">
        <v>24</v>
      </c>
      <c r="E870" s="13">
        <v>28349</v>
      </c>
      <c r="F870" s="14">
        <v>29473665.23</v>
      </c>
      <c r="G870" s="12">
        <v>6.51</v>
      </c>
      <c r="H870" s="12">
        <v>94.18</v>
      </c>
      <c r="I870" s="12">
        <v>34.270000000000003</v>
      </c>
      <c r="J870" s="12">
        <v>103.77</v>
      </c>
      <c r="K870" s="12">
        <v>65.41</v>
      </c>
      <c r="L870" s="15" t="s">
        <v>15</v>
      </c>
    </row>
    <row r="871" spans="1:12" x14ac:dyDescent="0.25">
      <c r="A871" s="16">
        <v>2024</v>
      </c>
      <c r="B871" s="17" t="s">
        <v>35</v>
      </c>
      <c r="C871" s="17" t="s">
        <v>31</v>
      </c>
      <c r="D871" s="17" t="s">
        <v>24</v>
      </c>
      <c r="E871" s="18">
        <v>33169</v>
      </c>
      <c r="F871" s="19">
        <v>35954900.030000001</v>
      </c>
      <c r="G871" s="17">
        <v>5.42</v>
      </c>
      <c r="H871" s="17">
        <v>53.54</v>
      </c>
      <c r="I871" s="17">
        <v>26.02</v>
      </c>
      <c r="J871" s="17">
        <v>294.86</v>
      </c>
      <c r="K871" s="17">
        <v>54.66</v>
      </c>
      <c r="L871" s="20" t="s">
        <v>27</v>
      </c>
    </row>
    <row r="872" spans="1:12" x14ac:dyDescent="0.25">
      <c r="A872" s="11">
        <v>2024</v>
      </c>
      <c r="B872" s="12" t="s">
        <v>35</v>
      </c>
      <c r="C872" s="12" t="s">
        <v>32</v>
      </c>
      <c r="D872" s="12" t="s">
        <v>24</v>
      </c>
      <c r="E872" s="13">
        <v>7463</v>
      </c>
      <c r="F872" s="14">
        <v>54322194.789999999</v>
      </c>
      <c r="G872" s="12">
        <v>3.42</v>
      </c>
      <c r="H872" s="12">
        <v>84.33</v>
      </c>
      <c r="I872" s="12">
        <v>29.05</v>
      </c>
      <c r="J872" s="12">
        <v>82.85</v>
      </c>
      <c r="K872" s="12">
        <v>88.18</v>
      </c>
      <c r="L872" s="15" t="s">
        <v>21</v>
      </c>
    </row>
    <row r="873" spans="1:12" x14ac:dyDescent="0.25">
      <c r="A873" s="16">
        <v>2024</v>
      </c>
      <c r="B873" s="17" t="s">
        <v>35</v>
      </c>
      <c r="C873" s="17" t="s">
        <v>33</v>
      </c>
      <c r="D873" s="17" t="s">
        <v>24</v>
      </c>
      <c r="E873" s="18">
        <v>16723</v>
      </c>
      <c r="F873" s="19">
        <v>10462398.76</v>
      </c>
      <c r="G873" s="17">
        <v>5.79</v>
      </c>
      <c r="H873" s="17">
        <v>80.56</v>
      </c>
      <c r="I873" s="17">
        <v>28.87</v>
      </c>
      <c r="J873" s="17">
        <v>162.51</v>
      </c>
      <c r="K873" s="17">
        <v>72.81</v>
      </c>
      <c r="L873" s="20" t="s">
        <v>19</v>
      </c>
    </row>
    <row r="874" spans="1:12" x14ac:dyDescent="0.25">
      <c r="A874" s="11">
        <v>2024</v>
      </c>
      <c r="B874" s="12" t="s">
        <v>35</v>
      </c>
      <c r="C874" s="12" t="s">
        <v>34</v>
      </c>
      <c r="D874" s="12" t="s">
        <v>24</v>
      </c>
      <c r="E874" s="13">
        <v>44327</v>
      </c>
      <c r="F874" s="14">
        <v>51331262.543999903</v>
      </c>
      <c r="G874" s="12">
        <v>4.95</v>
      </c>
      <c r="H874" s="12">
        <v>78.31</v>
      </c>
      <c r="I874" s="12">
        <v>41.66</v>
      </c>
      <c r="J874" s="12">
        <v>198.84</v>
      </c>
      <c r="K874" s="12">
        <v>46.44</v>
      </c>
      <c r="L874" s="15" t="s">
        <v>19</v>
      </c>
    </row>
    <row r="875" spans="1:12" x14ac:dyDescent="0.25">
      <c r="A875" s="16">
        <v>2024</v>
      </c>
      <c r="B875" s="17" t="s">
        <v>36</v>
      </c>
      <c r="C875" s="17" t="s">
        <v>13</v>
      </c>
      <c r="D875" s="17" t="s">
        <v>14</v>
      </c>
      <c r="E875" s="18">
        <v>32671</v>
      </c>
      <c r="F875" s="19">
        <v>47591496.990000002</v>
      </c>
      <c r="G875" s="17">
        <v>2.77</v>
      </c>
      <c r="H875" s="17">
        <v>27.94</v>
      </c>
      <c r="I875" s="17">
        <v>32.880000000000003</v>
      </c>
      <c r="J875" s="17">
        <v>71.209999999999994</v>
      </c>
      <c r="K875" s="17">
        <v>82.95</v>
      </c>
      <c r="L875" s="20" t="s">
        <v>15</v>
      </c>
    </row>
    <row r="876" spans="1:12" x14ac:dyDescent="0.25">
      <c r="A876" s="11">
        <v>2024</v>
      </c>
      <c r="B876" s="12" t="s">
        <v>36</v>
      </c>
      <c r="C876" s="12" t="s">
        <v>16</v>
      </c>
      <c r="D876" s="12" t="s">
        <v>14</v>
      </c>
      <c r="E876" s="13">
        <v>40214</v>
      </c>
      <c r="F876" s="14">
        <v>41136987.82</v>
      </c>
      <c r="G876" s="12">
        <v>0.13999999999999899</v>
      </c>
      <c r="H876" s="12">
        <v>87.83</v>
      </c>
      <c r="I876" s="12">
        <v>40.29</v>
      </c>
      <c r="J876" s="12">
        <v>259.95</v>
      </c>
      <c r="K876" s="12">
        <v>42.51</v>
      </c>
      <c r="L876" s="15" t="s">
        <v>15</v>
      </c>
    </row>
    <row r="877" spans="1:12" x14ac:dyDescent="0.25">
      <c r="A877" s="16">
        <v>2024</v>
      </c>
      <c r="B877" s="17" t="s">
        <v>36</v>
      </c>
      <c r="C877" s="17" t="s">
        <v>18</v>
      </c>
      <c r="D877" s="17" t="s">
        <v>14</v>
      </c>
      <c r="E877" s="18">
        <v>5564</v>
      </c>
      <c r="F877" s="19">
        <v>59801417.460000001</v>
      </c>
      <c r="G877" s="17">
        <v>3.5</v>
      </c>
      <c r="H877" s="17">
        <v>48.6</v>
      </c>
      <c r="I877" s="17">
        <v>29.86</v>
      </c>
      <c r="J877" s="17">
        <v>213.04</v>
      </c>
      <c r="K877" s="17">
        <v>46.39</v>
      </c>
      <c r="L877" s="20" t="s">
        <v>27</v>
      </c>
    </row>
    <row r="878" spans="1:12" x14ac:dyDescent="0.25">
      <c r="A878" s="11">
        <v>2024</v>
      </c>
      <c r="B878" s="12" t="s">
        <v>36</v>
      </c>
      <c r="C878" s="12" t="s">
        <v>20</v>
      </c>
      <c r="D878" s="12" t="s">
        <v>14</v>
      </c>
      <c r="E878" s="13">
        <v>19903</v>
      </c>
      <c r="F878" s="14">
        <v>17437926.68</v>
      </c>
      <c r="G878" s="12">
        <v>3.41</v>
      </c>
      <c r="H878" s="12">
        <v>61.77</v>
      </c>
      <c r="I878" s="12">
        <v>2.81</v>
      </c>
      <c r="J878" s="12">
        <v>289.86</v>
      </c>
      <c r="K878" s="12">
        <v>52.2</v>
      </c>
      <c r="L878" s="15" t="s">
        <v>19</v>
      </c>
    </row>
    <row r="879" spans="1:12" x14ac:dyDescent="0.25">
      <c r="A879" s="16">
        <v>2024</v>
      </c>
      <c r="B879" s="17" t="s">
        <v>36</v>
      </c>
      <c r="C879" s="17" t="s">
        <v>22</v>
      </c>
      <c r="D879" s="17" t="s">
        <v>14</v>
      </c>
      <c r="E879" s="18">
        <v>21386</v>
      </c>
      <c r="F879" s="19">
        <v>36904339.770000003</v>
      </c>
      <c r="G879" s="17">
        <v>2.99</v>
      </c>
      <c r="H879" s="17">
        <v>72.989999999999995</v>
      </c>
      <c r="I879" s="17">
        <v>35.39</v>
      </c>
      <c r="J879" s="17">
        <v>296.75</v>
      </c>
      <c r="K879" s="17">
        <v>75.59</v>
      </c>
      <c r="L879" s="20" t="s">
        <v>17</v>
      </c>
    </row>
    <row r="880" spans="1:12" x14ac:dyDescent="0.25">
      <c r="A880" s="11">
        <v>2024</v>
      </c>
      <c r="B880" s="12" t="s">
        <v>36</v>
      </c>
      <c r="C880" s="12" t="s">
        <v>23</v>
      </c>
      <c r="D880" s="12" t="s">
        <v>24</v>
      </c>
      <c r="E880" s="13">
        <v>27969</v>
      </c>
      <c r="F880" s="14">
        <v>70164647.829999998</v>
      </c>
      <c r="G880" s="12">
        <v>2.62</v>
      </c>
      <c r="H880" s="12">
        <v>46.76</v>
      </c>
      <c r="I880" s="12">
        <v>43.61</v>
      </c>
      <c r="J880" s="12">
        <v>103.25</v>
      </c>
      <c r="K880" s="12">
        <v>63.21</v>
      </c>
      <c r="L880" s="15" t="s">
        <v>19</v>
      </c>
    </row>
    <row r="881" spans="1:12" x14ac:dyDescent="0.25">
      <c r="A881" s="16">
        <v>2024</v>
      </c>
      <c r="B881" s="17" t="s">
        <v>36</v>
      </c>
      <c r="C881" s="17" t="s">
        <v>25</v>
      </c>
      <c r="D881" s="17" t="s">
        <v>24</v>
      </c>
      <c r="E881" s="18">
        <v>37433</v>
      </c>
      <c r="F881" s="19">
        <v>18338586.460000001</v>
      </c>
      <c r="G881" s="17">
        <v>4.04</v>
      </c>
      <c r="H881" s="17">
        <v>87.64</v>
      </c>
      <c r="I881" s="17">
        <v>53.76</v>
      </c>
      <c r="J881" s="17">
        <v>101.77</v>
      </c>
      <c r="K881" s="17">
        <v>50.02</v>
      </c>
      <c r="L881" s="20" t="s">
        <v>19</v>
      </c>
    </row>
    <row r="882" spans="1:12" x14ac:dyDescent="0.25">
      <c r="A882" s="11">
        <v>2024</v>
      </c>
      <c r="B882" s="12" t="s">
        <v>36</v>
      </c>
      <c r="C882" s="12" t="s">
        <v>26</v>
      </c>
      <c r="D882" s="12" t="s">
        <v>24</v>
      </c>
      <c r="E882" s="13">
        <v>39286</v>
      </c>
      <c r="F882" s="14">
        <v>60220617.189999998</v>
      </c>
      <c r="G882" s="12">
        <v>3.28</v>
      </c>
      <c r="H882" s="12">
        <v>52.62</v>
      </c>
      <c r="I882" s="12">
        <v>54.48</v>
      </c>
      <c r="J882" s="12">
        <v>284.67</v>
      </c>
      <c r="K882" s="12">
        <v>72.09</v>
      </c>
      <c r="L882" s="15" t="s">
        <v>27</v>
      </c>
    </row>
    <row r="883" spans="1:12" x14ac:dyDescent="0.25">
      <c r="A883" s="16">
        <v>2024</v>
      </c>
      <c r="B883" s="17" t="s">
        <v>36</v>
      </c>
      <c r="C883" s="17" t="s">
        <v>28</v>
      </c>
      <c r="D883" s="17" t="s">
        <v>24</v>
      </c>
      <c r="E883" s="18">
        <v>53528</v>
      </c>
      <c r="F883" s="19">
        <v>21387152.239999998</v>
      </c>
      <c r="G883" s="17">
        <v>6.42</v>
      </c>
      <c r="H883" s="17">
        <v>103.82</v>
      </c>
      <c r="I883" s="17">
        <v>51.01</v>
      </c>
      <c r="J883" s="17">
        <v>130.55000000000001</v>
      </c>
      <c r="K883" s="17">
        <v>85.26</v>
      </c>
      <c r="L883" s="20" t="s">
        <v>19</v>
      </c>
    </row>
    <row r="884" spans="1:12" x14ac:dyDescent="0.25">
      <c r="A884" s="11">
        <v>2024</v>
      </c>
      <c r="B884" s="12" t="s">
        <v>36</v>
      </c>
      <c r="C884" s="12" t="s">
        <v>29</v>
      </c>
      <c r="D884" s="12" t="s">
        <v>24</v>
      </c>
      <c r="E884" s="13">
        <v>35291</v>
      </c>
      <c r="F884" s="14">
        <v>49226395.399999999</v>
      </c>
      <c r="G884" s="12">
        <v>6.75</v>
      </c>
      <c r="H884" s="12">
        <v>62.89</v>
      </c>
      <c r="I884" s="12">
        <v>24.49</v>
      </c>
      <c r="J884" s="12">
        <v>220.65</v>
      </c>
      <c r="K884" s="12">
        <v>89.72</v>
      </c>
      <c r="L884" s="15" t="s">
        <v>21</v>
      </c>
    </row>
    <row r="885" spans="1:12" x14ac:dyDescent="0.25">
      <c r="A885" s="16">
        <v>2024</v>
      </c>
      <c r="B885" s="17" t="s">
        <v>36</v>
      </c>
      <c r="C885" s="17" t="s">
        <v>30</v>
      </c>
      <c r="D885" s="17" t="s">
        <v>24</v>
      </c>
      <c r="E885" s="18">
        <v>59709</v>
      </c>
      <c r="F885" s="19">
        <v>24247149.039999999</v>
      </c>
      <c r="G885" s="17">
        <v>6.3</v>
      </c>
      <c r="H885" s="17">
        <v>103.78</v>
      </c>
      <c r="I885" s="17">
        <v>12.99</v>
      </c>
      <c r="J885" s="17">
        <v>284.37</v>
      </c>
      <c r="K885" s="17">
        <v>67.069999999999993</v>
      </c>
      <c r="L885" s="20" t="s">
        <v>19</v>
      </c>
    </row>
    <row r="886" spans="1:12" x14ac:dyDescent="0.25">
      <c r="A886" s="11">
        <v>2024</v>
      </c>
      <c r="B886" s="12" t="s">
        <v>36</v>
      </c>
      <c r="C886" s="12" t="s">
        <v>31</v>
      </c>
      <c r="D886" s="12" t="s">
        <v>24</v>
      </c>
      <c r="E886" s="13">
        <v>43568</v>
      </c>
      <c r="F886" s="14">
        <v>7815666.2519999901</v>
      </c>
      <c r="G886" s="12">
        <v>5.04</v>
      </c>
      <c r="H886" s="12">
        <v>74.459999999999994</v>
      </c>
      <c r="I886" s="12">
        <v>45.39</v>
      </c>
      <c r="J886" s="12">
        <v>255.35</v>
      </c>
      <c r="K886" s="12">
        <v>72.28</v>
      </c>
      <c r="L886" s="15" t="s">
        <v>21</v>
      </c>
    </row>
    <row r="887" spans="1:12" x14ac:dyDescent="0.25">
      <c r="A887" s="16">
        <v>2024</v>
      </c>
      <c r="B887" s="17" t="s">
        <v>36</v>
      </c>
      <c r="C887" s="17" t="s">
        <v>32</v>
      </c>
      <c r="D887" s="17" t="s">
        <v>24</v>
      </c>
      <c r="E887" s="18">
        <v>14266</v>
      </c>
      <c r="F887" s="19">
        <v>34815441.960000001</v>
      </c>
      <c r="G887" s="17">
        <v>4.33</v>
      </c>
      <c r="H887" s="17">
        <v>40.78</v>
      </c>
      <c r="I887" s="17">
        <v>17.489999999999998</v>
      </c>
      <c r="J887" s="17">
        <v>190.78</v>
      </c>
      <c r="K887" s="17">
        <v>88.08</v>
      </c>
      <c r="L887" s="20" t="s">
        <v>17</v>
      </c>
    </row>
    <row r="888" spans="1:12" x14ac:dyDescent="0.25">
      <c r="A888" s="11">
        <v>2024</v>
      </c>
      <c r="B888" s="12" t="s">
        <v>36</v>
      </c>
      <c r="C888" s="12" t="s">
        <v>33</v>
      </c>
      <c r="D888" s="12" t="s">
        <v>24</v>
      </c>
      <c r="E888" s="13">
        <v>15763</v>
      </c>
      <c r="F888" s="14">
        <v>7376208.852</v>
      </c>
      <c r="G888" s="12">
        <v>5.89</v>
      </c>
      <c r="H888" s="12">
        <v>74.459999999999994</v>
      </c>
      <c r="I888" s="12">
        <v>50.36</v>
      </c>
      <c r="J888" s="12">
        <v>173.23</v>
      </c>
      <c r="K888" s="12">
        <v>52.39</v>
      </c>
      <c r="L888" s="15" t="s">
        <v>21</v>
      </c>
    </row>
    <row r="889" spans="1:12" x14ac:dyDescent="0.25">
      <c r="A889" s="16">
        <v>2024</v>
      </c>
      <c r="B889" s="17" t="s">
        <v>36</v>
      </c>
      <c r="C889" s="17" t="s">
        <v>34</v>
      </c>
      <c r="D889" s="17" t="s">
        <v>24</v>
      </c>
      <c r="E889" s="18">
        <v>37683</v>
      </c>
      <c r="F889" s="19">
        <v>25975311.579999998</v>
      </c>
      <c r="G889" s="17">
        <v>6.15</v>
      </c>
      <c r="H889" s="17">
        <v>87.83</v>
      </c>
      <c r="I889" s="17">
        <v>29.56</v>
      </c>
      <c r="J889" s="17">
        <v>270.57</v>
      </c>
      <c r="K889" s="17">
        <v>63.33</v>
      </c>
      <c r="L889" s="20" t="s">
        <v>27</v>
      </c>
    </row>
    <row r="890" spans="1:12" x14ac:dyDescent="0.25">
      <c r="A890" s="11">
        <v>2024</v>
      </c>
      <c r="B890" s="12" t="s">
        <v>37</v>
      </c>
      <c r="C890" s="12" t="s">
        <v>13</v>
      </c>
      <c r="D890" s="12" t="s">
        <v>14</v>
      </c>
      <c r="E890" s="13">
        <v>9805</v>
      </c>
      <c r="F890" s="14">
        <v>4494602.4929999998</v>
      </c>
      <c r="G890" s="12">
        <v>0.27</v>
      </c>
      <c r="H890" s="12">
        <v>59.49</v>
      </c>
      <c r="I890" s="12">
        <v>16.98</v>
      </c>
      <c r="J890" s="12">
        <v>203.22</v>
      </c>
      <c r="K890" s="12">
        <v>57.32</v>
      </c>
      <c r="L890" s="15" t="s">
        <v>19</v>
      </c>
    </row>
    <row r="891" spans="1:12" x14ac:dyDescent="0.25">
      <c r="A891" s="16">
        <v>2024</v>
      </c>
      <c r="B891" s="17" t="s">
        <v>37</v>
      </c>
      <c r="C891" s="17" t="s">
        <v>16</v>
      </c>
      <c r="D891" s="17" t="s">
        <v>14</v>
      </c>
      <c r="E891" s="18">
        <v>39017</v>
      </c>
      <c r="F891" s="19">
        <v>15031174.35</v>
      </c>
      <c r="G891" s="17">
        <v>1.95</v>
      </c>
      <c r="H891" s="17">
        <v>50.4</v>
      </c>
      <c r="I891" s="17">
        <v>25.44</v>
      </c>
      <c r="J891" s="17">
        <v>268.60000000000002</v>
      </c>
      <c r="K891" s="17">
        <v>38.07</v>
      </c>
      <c r="L891" s="20" t="s">
        <v>15</v>
      </c>
    </row>
    <row r="892" spans="1:12" x14ac:dyDescent="0.25">
      <c r="A892" s="11">
        <v>2024</v>
      </c>
      <c r="B892" s="12" t="s">
        <v>37</v>
      </c>
      <c r="C892" s="12" t="s">
        <v>18</v>
      </c>
      <c r="D892" s="12" t="s">
        <v>14</v>
      </c>
      <c r="E892" s="13">
        <v>7534</v>
      </c>
      <c r="F892" s="14">
        <v>29771391.219999999</v>
      </c>
      <c r="G892" s="12">
        <v>3.55</v>
      </c>
      <c r="H892" s="12">
        <v>47.5</v>
      </c>
      <c r="I892" s="12">
        <v>12.56</v>
      </c>
      <c r="J892" s="12">
        <v>51.73</v>
      </c>
      <c r="K892" s="12">
        <v>74.44</v>
      </c>
      <c r="L892" s="15" t="s">
        <v>27</v>
      </c>
    </row>
    <row r="893" spans="1:12" x14ac:dyDescent="0.25">
      <c r="A893" s="16">
        <v>2024</v>
      </c>
      <c r="B893" s="17" t="s">
        <v>37</v>
      </c>
      <c r="C893" s="17" t="s">
        <v>20</v>
      </c>
      <c r="D893" s="17" t="s">
        <v>14</v>
      </c>
      <c r="E893" s="18">
        <v>42266</v>
      </c>
      <c r="F893" s="19">
        <v>23557754.829999998</v>
      </c>
      <c r="G893" s="17">
        <v>0.34</v>
      </c>
      <c r="H893" s="17">
        <v>86.28</v>
      </c>
      <c r="I893" s="17">
        <v>26.49</v>
      </c>
      <c r="J893" s="17">
        <v>294.81</v>
      </c>
      <c r="K893" s="17">
        <v>51.79</v>
      </c>
      <c r="L893" s="20" t="s">
        <v>17</v>
      </c>
    </row>
    <row r="894" spans="1:12" x14ac:dyDescent="0.25">
      <c r="A894" s="11">
        <v>2024</v>
      </c>
      <c r="B894" s="12" t="s">
        <v>37</v>
      </c>
      <c r="C894" s="12" t="s">
        <v>22</v>
      </c>
      <c r="D894" s="12" t="s">
        <v>14</v>
      </c>
      <c r="E894" s="13">
        <v>28852</v>
      </c>
      <c r="F894" s="14">
        <v>14365866.470000001</v>
      </c>
      <c r="G894" s="12">
        <v>0.22999999999999901</v>
      </c>
      <c r="H894" s="12">
        <v>46.1</v>
      </c>
      <c r="I894" s="12">
        <v>3.47</v>
      </c>
      <c r="J894" s="12">
        <v>194.32</v>
      </c>
      <c r="K894" s="12">
        <v>86.51</v>
      </c>
      <c r="L894" s="15" t="s">
        <v>19</v>
      </c>
    </row>
    <row r="895" spans="1:12" x14ac:dyDescent="0.25">
      <c r="A895" s="16">
        <v>2024</v>
      </c>
      <c r="B895" s="17" t="s">
        <v>37</v>
      </c>
      <c r="C895" s="17" t="s">
        <v>23</v>
      </c>
      <c r="D895" s="17" t="s">
        <v>24</v>
      </c>
      <c r="E895" s="18">
        <v>25724</v>
      </c>
      <c r="F895" s="19">
        <v>57565236.579999998</v>
      </c>
      <c r="G895" s="17">
        <v>5.68</v>
      </c>
      <c r="H895" s="17">
        <v>69.979999999999905</v>
      </c>
      <c r="I895" s="17">
        <v>34.17</v>
      </c>
      <c r="J895" s="17">
        <v>231.5</v>
      </c>
      <c r="K895" s="17">
        <v>84.08</v>
      </c>
      <c r="L895" s="20" t="s">
        <v>17</v>
      </c>
    </row>
    <row r="896" spans="1:12" x14ac:dyDescent="0.25">
      <c r="A896" s="11">
        <v>2024</v>
      </c>
      <c r="B896" s="12" t="s">
        <v>37</v>
      </c>
      <c r="C896" s="12" t="s">
        <v>25</v>
      </c>
      <c r="D896" s="12" t="s">
        <v>24</v>
      </c>
      <c r="E896" s="13">
        <v>10554</v>
      </c>
      <c r="F896" s="14">
        <v>21897425.739999998</v>
      </c>
      <c r="G896" s="12">
        <v>5.35</v>
      </c>
      <c r="H896" s="12">
        <v>41.87</v>
      </c>
      <c r="I896" s="12">
        <v>19.649999999999999</v>
      </c>
      <c r="J896" s="12">
        <v>187.87</v>
      </c>
      <c r="K896" s="12">
        <v>87.11</v>
      </c>
      <c r="L896" s="15" t="s">
        <v>15</v>
      </c>
    </row>
    <row r="897" spans="1:12" x14ac:dyDescent="0.25">
      <c r="A897" s="16">
        <v>2024</v>
      </c>
      <c r="B897" s="17" t="s">
        <v>37</v>
      </c>
      <c r="C897" s="17" t="s">
        <v>26</v>
      </c>
      <c r="D897" s="17" t="s">
        <v>24</v>
      </c>
      <c r="E897" s="18">
        <v>63966</v>
      </c>
      <c r="F897" s="19">
        <v>35148376</v>
      </c>
      <c r="G897" s="17">
        <v>3.86</v>
      </c>
      <c r="H897" s="17">
        <v>68.180000000000007</v>
      </c>
      <c r="I897" s="17">
        <v>37.299999999999997</v>
      </c>
      <c r="J897" s="17">
        <v>171.35</v>
      </c>
      <c r="K897" s="17">
        <v>81.11</v>
      </c>
      <c r="L897" s="20" t="s">
        <v>21</v>
      </c>
    </row>
    <row r="898" spans="1:12" x14ac:dyDescent="0.25">
      <c r="A898" s="11">
        <v>2024</v>
      </c>
      <c r="B898" s="12" t="s">
        <v>37</v>
      </c>
      <c r="C898" s="12" t="s">
        <v>28</v>
      </c>
      <c r="D898" s="12" t="s">
        <v>24</v>
      </c>
      <c r="E898" s="13">
        <v>50336</v>
      </c>
      <c r="F898" s="14">
        <v>24239867.16</v>
      </c>
      <c r="G898" s="12">
        <v>4.0599999999999996</v>
      </c>
      <c r="H898" s="12">
        <v>44.48</v>
      </c>
      <c r="I898" s="12">
        <v>16.75</v>
      </c>
      <c r="J898" s="12">
        <v>205.63</v>
      </c>
      <c r="K898" s="12">
        <v>73.459999999999994</v>
      </c>
      <c r="L898" s="15" t="s">
        <v>19</v>
      </c>
    </row>
    <row r="899" spans="1:12" x14ac:dyDescent="0.25">
      <c r="A899" s="16">
        <v>2024</v>
      </c>
      <c r="B899" s="17" t="s">
        <v>37</v>
      </c>
      <c r="C899" s="17" t="s">
        <v>29</v>
      </c>
      <c r="D899" s="17" t="s">
        <v>24</v>
      </c>
      <c r="E899" s="18">
        <v>35834</v>
      </c>
      <c r="F899" s="19">
        <v>8672653.0079999994</v>
      </c>
      <c r="G899" s="17">
        <v>3.47</v>
      </c>
      <c r="H899" s="17">
        <v>79.11</v>
      </c>
      <c r="I899" s="17">
        <v>20.48</v>
      </c>
      <c r="J899" s="17">
        <v>97.86</v>
      </c>
      <c r="K899" s="17">
        <v>49</v>
      </c>
      <c r="L899" s="20" t="s">
        <v>19</v>
      </c>
    </row>
    <row r="900" spans="1:12" x14ac:dyDescent="0.25">
      <c r="A900" s="11">
        <v>2024</v>
      </c>
      <c r="B900" s="12" t="s">
        <v>37</v>
      </c>
      <c r="C900" s="12" t="s">
        <v>30</v>
      </c>
      <c r="D900" s="12" t="s">
        <v>24</v>
      </c>
      <c r="E900" s="13">
        <v>28368</v>
      </c>
      <c r="F900" s="14">
        <v>17639255.890000001</v>
      </c>
      <c r="G900" s="12">
        <v>5.79</v>
      </c>
      <c r="H900" s="12">
        <v>47.78</v>
      </c>
      <c r="I900" s="12">
        <v>35.700000000000003</v>
      </c>
      <c r="J900" s="12">
        <v>99.55</v>
      </c>
      <c r="K900" s="12">
        <v>92.85</v>
      </c>
      <c r="L900" s="15" t="s">
        <v>27</v>
      </c>
    </row>
    <row r="901" spans="1:12" x14ac:dyDescent="0.25">
      <c r="A901" s="16">
        <v>2024</v>
      </c>
      <c r="B901" s="17" t="s">
        <v>37</v>
      </c>
      <c r="C901" s="17" t="s">
        <v>31</v>
      </c>
      <c r="D901" s="17" t="s">
        <v>24</v>
      </c>
      <c r="E901" s="18">
        <v>31313</v>
      </c>
      <c r="F901" s="19">
        <v>33616387.43</v>
      </c>
      <c r="G901" s="17">
        <v>6.7</v>
      </c>
      <c r="H901" s="17">
        <v>59.12</v>
      </c>
      <c r="I901" s="17">
        <v>51.35</v>
      </c>
      <c r="J901" s="17">
        <v>229.94</v>
      </c>
      <c r="K901" s="17">
        <v>66.099999999999994</v>
      </c>
      <c r="L901" s="20" t="s">
        <v>21</v>
      </c>
    </row>
    <row r="902" spans="1:12" x14ac:dyDescent="0.25">
      <c r="A902" s="11">
        <v>2024</v>
      </c>
      <c r="B902" s="12" t="s">
        <v>37</v>
      </c>
      <c r="C902" s="12" t="s">
        <v>32</v>
      </c>
      <c r="D902" s="12" t="s">
        <v>24</v>
      </c>
      <c r="E902" s="13">
        <v>10175</v>
      </c>
      <c r="F902" s="14">
        <v>31584423.949999999</v>
      </c>
      <c r="G902" s="12">
        <v>6.39</v>
      </c>
      <c r="H902" s="12">
        <v>86.4</v>
      </c>
      <c r="I902" s="12">
        <v>6.87</v>
      </c>
      <c r="J902" s="12">
        <v>170.92</v>
      </c>
      <c r="K902" s="12">
        <v>87.54</v>
      </c>
      <c r="L902" s="15" t="s">
        <v>15</v>
      </c>
    </row>
    <row r="903" spans="1:12" x14ac:dyDescent="0.25">
      <c r="A903" s="16">
        <v>2024</v>
      </c>
      <c r="B903" s="17" t="s">
        <v>37</v>
      </c>
      <c r="C903" s="17" t="s">
        <v>33</v>
      </c>
      <c r="D903" s="17" t="s">
        <v>24</v>
      </c>
      <c r="E903" s="18">
        <v>27459</v>
      </c>
      <c r="F903" s="19">
        <v>48297091.175999902</v>
      </c>
      <c r="G903" s="17">
        <v>2.65</v>
      </c>
      <c r="H903" s="17">
        <v>73.66</v>
      </c>
      <c r="I903" s="17">
        <v>17.95</v>
      </c>
      <c r="J903" s="17">
        <v>186.37</v>
      </c>
      <c r="K903" s="17">
        <v>92.94</v>
      </c>
      <c r="L903" s="20" t="s">
        <v>21</v>
      </c>
    </row>
    <row r="904" spans="1:12" x14ac:dyDescent="0.25">
      <c r="A904" s="11">
        <v>2024</v>
      </c>
      <c r="B904" s="12" t="s">
        <v>37</v>
      </c>
      <c r="C904" s="12" t="s">
        <v>34</v>
      </c>
      <c r="D904" s="12" t="s">
        <v>24</v>
      </c>
      <c r="E904" s="13">
        <v>23576</v>
      </c>
      <c r="F904" s="14">
        <v>7378715.04</v>
      </c>
      <c r="G904" s="12">
        <v>4.9400000000000004</v>
      </c>
      <c r="H904" s="12">
        <v>92.65</v>
      </c>
      <c r="I904" s="12">
        <v>27.65</v>
      </c>
      <c r="J904" s="12">
        <v>261.8</v>
      </c>
      <c r="K904" s="12">
        <v>75.180000000000007</v>
      </c>
      <c r="L904" s="15" t="s">
        <v>15</v>
      </c>
    </row>
    <row r="905" spans="1:12" x14ac:dyDescent="0.25">
      <c r="A905" s="16">
        <v>2024</v>
      </c>
      <c r="B905" s="17" t="s">
        <v>12</v>
      </c>
      <c r="C905" s="17" t="s">
        <v>13</v>
      </c>
      <c r="D905" s="17" t="s">
        <v>14</v>
      </c>
      <c r="E905" s="18">
        <v>37131</v>
      </c>
      <c r="F905" s="19">
        <v>45587127.689999998</v>
      </c>
      <c r="G905" s="17">
        <v>0.59</v>
      </c>
      <c r="H905" s="17">
        <v>83.06</v>
      </c>
      <c r="I905" s="17">
        <v>0.33999999999999903</v>
      </c>
      <c r="J905" s="17">
        <v>274.2</v>
      </c>
      <c r="K905" s="17">
        <v>42.93</v>
      </c>
      <c r="L905" s="20" t="s">
        <v>21</v>
      </c>
    </row>
    <row r="906" spans="1:12" x14ac:dyDescent="0.25">
      <c r="A906" s="11">
        <v>2024</v>
      </c>
      <c r="B906" s="12" t="s">
        <v>12</v>
      </c>
      <c r="C906" s="12" t="s">
        <v>16</v>
      </c>
      <c r="D906" s="12" t="s">
        <v>14</v>
      </c>
      <c r="E906" s="13">
        <v>22947</v>
      </c>
      <c r="F906" s="14">
        <v>10581556.07</v>
      </c>
      <c r="G906" s="12">
        <v>2.0299999999999998</v>
      </c>
      <c r="H906" s="12">
        <v>51.05</v>
      </c>
      <c r="I906" s="12">
        <v>13.99</v>
      </c>
      <c r="J906" s="12">
        <v>62.01</v>
      </c>
      <c r="K906" s="12">
        <v>43.39</v>
      </c>
      <c r="L906" s="15" t="s">
        <v>27</v>
      </c>
    </row>
    <row r="907" spans="1:12" x14ac:dyDescent="0.25">
      <c r="A907" s="16">
        <v>2024</v>
      </c>
      <c r="B907" s="17" t="s">
        <v>12</v>
      </c>
      <c r="C907" s="17" t="s">
        <v>18</v>
      </c>
      <c r="D907" s="17" t="s">
        <v>14</v>
      </c>
      <c r="E907" s="18">
        <v>32783</v>
      </c>
      <c r="F907" s="19">
        <v>24954402.68</v>
      </c>
      <c r="G907" s="17">
        <v>-0.12</v>
      </c>
      <c r="H907" s="17">
        <v>68.38</v>
      </c>
      <c r="I907" s="17">
        <v>18.52</v>
      </c>
      <c r="J907" s="17">
        <v>165.62</v>
      </c>
      <c r="K907" s="17">
        <v>84.08</v>
      </c>
      <c r="L907" s="20" t="s">
        <v>15</v>
      </c>
    </row>
    <row r="908" spans="1:12" x14ac:dyDescent="0.25">
      <c r="A908" s="11">
        <v>2024</v>
      </c>
      <c r="B908" s="12" t="s">
        <v>12</v>
      </c>
      <c r="C908" s="12" t="s">
        <v>20</v>
      </c>
      <c r="D908" s="12" t="s">
        <v>14</v>
      </c>
      <c r="E908" s="13">
        <v>11825</v>
      </c>
      <c r="F908" s="14">
        <v>26416166.620000001</v>
      </c>
      <c r="G908" s="12">
        <v>3.72</v>
      </c>
      <c r="H908" s="12">
        <v>48.75</v>
      </c>
      <c r="I908" s="12">
        <v>13.42</v>
      </c>
      <c r="J908" s="12">
        <v>267.68</v>
      </c>
      <c r="K908" s="12">
        <v>82.48</v>
      </c>
      <c r="L908" s="15" t="s">
        <v>15</v>
      </c>
    </row>
    <row r="909" spans="1:12" x14ac:dyDescent="0.25">
      <c r="A909" s="16">
        <v>2024</v>
      </c>
      <c r="B909" s="17" t="s">
        <v>12</v>
      </c>
      <c r="C909" s="17" t="s">
        <v>22</v>
      </c>
      <c r="D909" s="17" t="s">
        <v>14</v>
      </c>
      <c r="E909" s="18">
        <v>11094</v>
      </c>
      <c r="F909" s="19">
        <v>32422221.329999998</v>
      </c>
      <c r="G909" s="17">
        <v>2.75</v>
      </c>
      <c r="H909" s="17">
        <v>69.33</v>
      </c>
      <c r="I909" s="17">
        <v>8.1999999999999993</v>
      </c>
      <c r="J909" s="17">
        <v>259.14999999999998</v>
      </c>
      <c r="K909" s="17">
        <v>73.14</v>
      </c>
      <c r="L909" s="20" t="s">
        <v>19</v>
      </c>
    </row>
    <row r="910" spans="1:12" x14ac:dyDescent="0.25">
      <c r="A910" s="11">
        <v>2024</v>
      </c>
      <c r="B910" s="12" t="s">
        <v>12</v>
      </c>
      <c r="C910" s="12" t="s">
        <v>23</v>
      </c>
      <c r="D910" s="12" t="s">
        <v>24</v>
      </c>
      <c r="E910" s="13">
        <v>54883</v>
      </c>
      <c r="F910" s="14">
        <v>29105714.760000002</v>
      </c>
      <c r="G910" s="12">
        <v>6.45</v>
      </c>
      <c r="H910" s="12">
        <v>41.13</v>
      </c>
      <c r="I910" s="12">
        <v>51.34</v>
      </c>
      <c r="J910" s="12">
        <v>117.64</v>
      </c>
      <c r="K910" s="12">
        <v>58.15</v>
      </c>
      <c r="L910" s="15" t="s">
        <v>21</v>
      </c>
    </row>
    <row r="911" spans="1:12" x14ac:dyDescent="0.25">
      <c r="A911" s="16">
        <v>2024</v>
      </c>
      <c r="B911" s="17" t="s">
        <v>12</v>
      </c>
      <c r="C911" s="17" t="s">
        <v>25</v>
      </c>
      <c r="D911" s="17" t="s">
        <v>24</v>
      </c>
      <c r="E911" s="18">
        <v>31220</v>
      </c>
      <c r="F911" s="19">
        <v>36722606.380000003</v>
      </c>
      <c r="G911" s="17">
        <v>6.53</v>
      </c>
      <c r="H911" s="17">
        <v>40.51</v>
      </c>
      <c r="I911" s="17">
        <v>32.239999999999903</v>
      </c>
      <c r="J911" s="17">
        <v>130.35</v>
      </c>
      <c r="K911" s="17">
        <v>80.87</v>
      </c>
      <c r="L911" s="20" t="s">
        <v>17</v>
      </c>
    </row>
    <row r="912" spans="1:12" x14ac:dyDescent="0.25">
      <c r="A912" s="11">
        <v>2024</v>
      </c>
      <c r="B912" s="12" t="s">
        <v>12</v>
      </c>
      <c r="C912" s="12" t="s">
        <v>26</v>
      </c>
      <c r="D912" s="12" t="s">
        <v>24</v>
      </c>
      <c r="E912" s="13">
        <v>11255</v>
      </c>
      <c r="F912" s="14">
        <v>40448789.530000001</v>
      </c>
      <c r="G912" s="12">
        <v>6.91</v>
      </c>
      <c r="H912" s="12">
        <v>69.89</v>
      </c>
      <c r="I912" s="12">
        <v>14.95</v>
      </c>
      <c r="J912" s="12">
        <v>211</v>
      </c>
      <c r="K912" s="12">
        <v>67.67</v>
      </c>
      <c r="L912" s="15" t="s">
        <v>21</v>
      </c>
    </row>
    <row r="913" spans="1:12" x14ac:dyDescent="0.25">
      <c r="A913" s="16">
        <v>2024</v>
      </c>
      <c r="B913" s="17" t="s">
        <v>12</v>
      </c>
      <c r="C913" s="17" t="s">
        <v>28</v>
      </c>
      <c r="D913" s="17" t="s">
        <v>24</v>
      </c>
      <c r="E913" s="18">
        <v>62968</v>
      </c>
      <c r="F913" s="19">
        <v>36037742.340000004</v>
      </c>
      <c r="G913" s="17">
        <v>3.27</v>
      </c>
      <c r="H913" s="17">
        <v>91.81</v>
      </c>
      <c r="I913" s="17">
        <v>35.090000000000003</v>
      </c>
      <c r="J913" s="17">
        <v>236.61</v>
      </c>
      <c r="K913" s="17">
        <v>93.38</v>
      </c>
      <c r="L913" s="20" t="s">
        <v>19</v>
      </c>
    </row>
    <row r="914" spans="1:12" x14ac:dyDescent="0.25">
      <c r="A914" s="11">
        <v>2024</v>
      </c>
      <c r="B914" s="12" t="s">
        <v>12</v>
      </c>
      <c r="C914" s="12" t="s">
        <v>29</v>
      </c>
      <c r="D914" s="12" t="s">
        <v>24</v>
      </c>
      <c r="E914" s="13">
        <v>57073</v>
      </c>
      <c r="F914" s="14">
        <v>27851665.91</v>
      </c>
      <c r="G914" s="12">
        <v>2.61</v>
      </c>
      <c r="H914" s="12">
        <v>66.33</v>
      </c>
      <c r="I914" s="12">
        <v>8.11</v>
      </c>
      <c r="J914" s="12">
        <v>196.33</v>
      </c>
      <c r="K914" s="12">
        <v>89.62</v>
      </c>
      <c r="L914" s="15" t="s">
        <v>17</v>
      </c>
    </row>
    <row r="915" spans="1:12" x14ac:dyDescent="0.25">
      <c r="A915" s="16">
        <v>2024</v>
      </c>
      <c r="B915" s="17" t="s">
        <v>12</v>
      </c>
      <c r="C915" s="17" t="s">
        <v>30</v>
      </c>
      <c r="D915" s="17" t="s">
        <v>24</v>
      </c>
      <c r="E915" s="18">
        <v>43911</v>
      </c>
      <c r="F915" s="19">
        <v>45501962.543999903</v>
      </c>
      <c r="G915" s="17">
        <v>4.21</v>
      </c>
      <c r="H915" s="17">
        <v>45.54</v>
      </c>
      <c r="I915" s="17">
        <v>47.18</v>
      </c>
      <c r="J915" s="17">
        <v>293.87</v>
      </c>
      <c r="K915" s="17">
        <v>46.55</v>
      </c>
      <c r="L915" s="20" t="s">
        <v>27</v>
      </c>
    </row>
    <row r="916" spans="1:12" x14ac:dyDescent="0.25">
      <c r="A916" s="11">
        <v>2024</v>
      </c>
      <c r="B916" s="12" t="s">
        <v>12</v>
      </c>
      <c r="C916" s="12" t="s">
        <v>31</v>
      </c>
      <c r="D916" s="12" t="s">
        <v>24</v>
      </c>
      <c r="E916" s="13">
        <v>6628</v>
      </c>
      <c r="F916" s="14">
        <v>36995468.590000004</v>
      </c>
      <c r="G916" s="12">
        <v>4.8099999999999996</v>
      </c>
      <c r="H916" s="12">
        <v>93.86</v>
      </c>
      <c r="I916" s="12">
        <v>26.43</v>
      </c>
      <c r="J916" s="12">
        <v>157.51</v>
      </c>
      <c r="K916" s="12">
        <v>45.53</v>
      </c>
      <c r="L916" s="15" t="s">
        <v>27</v>
      </c>
    </row>
    <row r="917" spans="1:12" x14ac:dyDescent="0.25">
      <c r="A917" s="16">
        <v>2024</v>
      </c>
      <c r="B917" s="17" t="s">
        <v>12</v>
      </c>
      <c r="C917" s="17" t="s">
        <v>32</v>
      </c>
      <c r="D917" s="17" t="s">
        <v>24</v>
      </c>
      <c r="E917" s="18">
        <v>54366</v>
      </c>
      <c r="F917" s="19">
        <v>58337180.299999997</v>
      </c>
      <c r="G917" s="17">
        <v>2.87</v>
      </c>
      <c r="H917" s="17">
        <v>90.7</v>
      </c>
      <c r="I917" s="17">
        <v>13.54</v>
      </c>
      <c r="J917" s="17">
        <v>83.75</v>
      </c>
      <c r="K917" s="17">
        <v>56.88</v>
      </c>
      <c r="L917" s="20" t="s">
        <v>15</v>
      </c>
    </row>
    <row r="918" spans="1:12" x14ac:dyDescent="0.25">
      <c r="A918" s="11">
        <v>2024</v>
      </c>
      <c r="B918" s="12" t="s">
        <v>12</v>
      </c>
      <c r="C918" s="12" t="s">
        <v>33</v>
      </c>
      <c r="D918" s="12" t="s">
        <v>24</v>
      </c>
      <c r="E918" s="13">
        <v>43162</v>
      </c>
      <c r="F918" s="14">
        <v>43400860.595999897</v>
      </c>
      <c r="G918" s="12">
        <v>3.11</v>
      </c>
      <c r="H918" s="12">
        <v>73.38</v>
      </c>
      <c r="I918" s="12">
        <v>46.43</v>
      </c>
      <c r="J918" s="12">
        <v>195.74</v>
      </c>
      <c r="K918" s="12">
        <v>49.58</v>
      </c>
      <c r="L918" s="15" t="s">
        <v>19</v>
      </c>
    </row>
    <row r="919" spans="1:12" x14ac:dyDescent="0.25">
      <c r="A919" s="16">
        <v>2024</v>
      </c>
      <c r="B919" s="17" t="s">
        <v>12</v>
      </c>
      <c r="C919" s="17" t="s">
        <v>34</v>
      </c>
      <c r="D919" s="17" t="s">
        <v>24</v>
      </c>
      <c r="E919" s="18">
        <v>24624</v>
      </c>
      <c r="F919" s="19">
        <v>36547057.850000001</v>
      </c>
      <c r="G919" s="17">
        <v>6.92</v>
      </c>
      <c r="H919" s="17">
        <v>54.55</v>
      </c>
      <c r="I919" s="17">
        <v>50.77</v>
      </c>
      <c r="J919" s="17">
        <v>120.07</v>
      </c>
      <c r="K919" s="17">
        <v>50.72</v>
      </c>
      <c r="L919" s="20" t="s">
        <v>21</v>
      </c>
    </row>
    <row r="920" spans="1:12" x14ac:dyDescent="0.25">
      <c r="A920" s="11">
        <v>2024</v>
      </c>
      <c r="B920" s="12" t="s">
        <v>35</v>
      </c>
      <c r="C920" s="12" t="s">
        <v>13</v>
      </c>
      <c r="D920" s="12" t="s">
        <v>14</v>
      </c>
      <c r="E920" s="13">
        <v>26237</v>
      </c>
      <c r="F920" s="14">
        <v>30930455.537999999</v>
      </c>
      <c r="G920" s="12">
        <v>2.72</v>
      </c>
      <c r="H920" s="12">
        <v>30.37</v>
      </c>
      <c r="I920" s="12">
        <v>43.72</v>
      </c>
      <c r="J920" s="12">
        <v>205.74</v>
      </c>
      <c r="K920" s="12">
        <v>48.09</v>
      </c>
      <c r="L920" s="15" t="s">
        <v>19</v>
      </c>
    </row>
    <row r="921" spans="1:12" x14ac:dyDescent="0.25">
      <c r="A921" s="16">
        <v>2024</v>
      </c>
      <c r="B921" s="17" t="s">
        <v>35</v>
      </c>
      <c r="C921" s="17" t="s">
        <v>16</v>
      </c>
      <c r="D921" s="17" t="s">
        <v>14</v>
      </c>
      <c r="E921" s="18">
        <v>22269</v>
      </c>
      <c r="F921" s="19">
        <v>16275671.49</v>
      </c>
      <c r="G921" s="17">
        <v>2.2400000000000002</v>
      </c>
      <c r="H921" s="17">
        <v>67.36</v>
      </c>
      <c r="I921" s="17">
        <v>2.27</v>
      </c>
      <c r="J921" s="17">
        <v>216.59</v>
      </c>
      <c r="K921" s="17">
        <v>73.239999999999995</v>
      </c>
      <c r="L921" s="20" t="s">
        <v>21</v>
      </c>
    </row>
    <row r="922" spans="1:12" x14ac:dyDescent="0.25">
      <c r="A922" s="11">
        <v>2024</v>
      </c>
      <c r="B922" s="12" t="s">
        <v>35</v>
      </c>
      <c r="C922" s="12" t="s">
        <v>18</v>
      </c>
      <c r="D922" s="12" t="s">
        <v>14</v>
      </c>
      <c r="E922" s="13">
        <v>27314</v>
      </c>
      <c r="F922" s="14">
        <v>25415808.77</v>
      </c>
      <c r="G922" s="12">
        <v>0.48</v>
      </c>
      <c r="H922" s="12">
        <v>88.91</v>
      </c>
      <c r="I922" s="12">
        <v>13.08</v>
      </c>
      <c r="J922" s="12">
        <v>84.12</v>
      </c>
      <c r="K922" s="12">
        <v>40.119999999999997</v>
      </c>
      <c r="L922" s="15" t="s">
        <v>27</v>
      </c>
    </row>
    <row r="923" spans="1:12" x14ac:dyDescent="0.25">
      <c r="A923" s="16">
        <v>2024</v>
      </c>
      <c r="B923" s="17" t="s">
        <v>35</v>
      </c>
      <c r="C923" s="17" t="s">
        <v>20</v>
      </c>
      <c r="D923" s="17" t="s">
        <v>14</v>
      </c>
      <c r="E923" s="18">
        <v>18938</v>
      </c>
      <c r="F923" s="19">
        <v>16203612.710000001</v>
      </c>
      <c r="G923" s="17">
        <v>3.04</v>
      </c>
      <c r="H923" s="17">
        <v>84.26</v>
      </c>
      <c r="I923" s="17">
        <v>14.97</v>
      </c>
      <c r="J923" s="17">
        <v>201.33</v>
      </c>
      <c r="K923" s="17">
        <v>75.69</v>
      </c>
      <c r="L923" s="20" t="s">
        <v>27</v>
      </c>
    </row>
    <row r="924" spans="1:12" x14ac:dyDescent="0.25">
      <c r="A924" s="11">
        <v>2024</v>
      </c>
      <c r="B924" s="12" t="s">
        <v>35</v>
      </c>
      <c r="C924" s="12" t="s">
        <v>22</v>
      </c>
      <c r="D924" s="12" t="s">
        <v>14</v>
      </c>
      <c r="E924" s="13">
        <v>14478</v>
      </c>
      <c r="F924" s="14">
        <v>46356728.390000001</v>
      </c>
      <c r="G924" s="12">
        <v>1.47</v>
      </c>
      <c r="H924" s="12">
        <v>44.98</v>
      </c>
      <c r="I924" s="12">
        <v>31.83</v>
      </c>
      <c r="J924" s="12">
        <v>190.4</v>
      </c>
      <c r="K924" s="12">
        <v>78.16</v>
      </c>
      <c r="L924" s="15" t="s">
        <v>17</v>
      </c>
    </row>
    <row r="925" spans="1:12" x14ac:dyDescent="0.25">
      <c r="A925" s="16">
        <v>2024</v>
      </c>
      <c r="B925" s="17" t="s">
        <v>35</v>
      </c>
      <c r="C925" s="17" t="s">
        <v>23</v>
      </c>
      <c r="D925" s="17" t="s">
        <v>24</v>
      </c>
      <c r="E925" s="18">
        <v>64381</v>
      </c>
      <c r="F925" s="19">
        <v>8891741.3399999999</v>
      </c>
      <c r="G925" s="17">
        <v>3.46</v>
      </c>
      <c r="H925" s="17">
        <v>81.540000000000006</v>
      </c>
      <c r="I925" s="17">
        <v>25.48</v>
      </c>
      <c r="J925" s="17">
        <v>147.47999999999999</v>
      </c>
      <c r="K925" s="17">
        <v>52.94</v>
      </c>
      <c r="L925" s="20" t="s">
        <v>21</v>
      </c>
    </row>
    <row r="926" spans="1:12" x14ac:dyDescent="0.25">
      <c r="A926" s="11">
        <v>2024</v>
      </c>
      <c r="B926" s="12" t="s">
        <v>35</v>
      </c>
      <c r="C926" s="12" t="s">
        <v>25</v>
      </c>
      <c r="D926" s="12" t="s">
        <v>24</v>
      </c>
      <c r="E926" s="13">
        <v>33515</v>
      </c>
      <c r="F926" s="14">
        <v>35787763.82</v>
      </c>
      <c r="G926" s="12">
        <v>4.3</v>
      </c>
      <c r="H926" s="12">
        <v>82.09</v>
      </c>
      <c r="I926" s="12">
        <v>44.83</v>
      </c>
      <c r="J926" s="12">
        <v>256.14</v>
      </c>
      <c r="K926" s="12">
        <v>51.86</v>
      </c>
      <c r="L926" s="15" t="s">
        <v>17</v>
      </c>
    </row>
    <row r="927" spans="1:12" x14ac:dyDescent="0.25">
      <c r="A927" s="16">
        <v>2024</v>
      </c>
      <c r="B927" s="17" t="s">
        <v>35</v>
      </c>
      <c r="C927" s="17" t="s">
        <v>26</v>
      </c>
      <c r="D927" s="17" t="s">
        <v>24</v>
      </c>
      <c r="E927" s="18">
        <v>14587</v>
      </c>
      <c r="F927" s="19">
        <v>28041204.800000001</v>
      </c>
      <c r="G927" s="17">
        <v>2.85</v>
      </c>
      <c r="H927" s="17">
        <v>53.66</v>
      </c>
      <c r="I927" s="17">
        <v>51.8</v>
      </c>
      <c r="J927" s="17">
        <v>126.75</v>
      </c>
      <c r="K927" s="17">
        <v>94.43</v>
      </c>
      <c r="L927" s="20" t="s">
        <v>15</v>
      </c>
    </row>
    <row r="928" spans="1:12" x14ac:dyDescent="0.25">
      <c r="A928" s="11">
        <v>2024</v>
      </c>
      <c r="B928" s="12" t="s">
        <v>35</v>
      </c>
      <c r="C928" s="12" t="s">
        <v>28</v>
      </c>
      <c r="D928" s="12" t="s">
        <v>24</v>
      </c>
      <c r="E928" s="13">
        <v>47712</v>
      </c>
      <c r="F928" s="14">
        <v>18117011.059999999</v>
      </c>
      <c r="G928" s="12">
        <v>3.62</v>
      </c>
      <c r="H928" s="12">
        <v>64.38</v>
      </c>
      <c r="I928" s="12">
        <v>33.69</v>
      </c>
      <c r="J928" s="12">
        <v>172.94</v>
      </c>
      <c r="K928" s="12">
        <v>72.78</v>
      </c>
      <c r="L928" s="15" t="s">
        <v>21</v>
      </c>
    </row>
    <row r="929" spans="1:12" x14ac:dyDescent="0.25">
      <c r="A929" s="16">
        <v>2024</v>
      </c>
      <c r="B929" s="17" t="s">
        <v>35</v>
      </c>
      <c r="C929" s="17" t="s">
        <v>29</v>
      </c>
      <c r="D929" s="17" t="s">
        <v>24</v>
      </c>
      <c r="E929" s="18">
        <v>24276</v>
      </c>
      <c r="F929" s="19">
        <v>82025137.200000003</v>
      </c>
      <c r="G929" s="17">
        <v>6.27</v>
      </c>
      <c r="H929" s="17">
        <v>51.96</v>
      </c>
      <c r="I929" s="17">
        <v>37.97</v>
      </c>
      <c r="J929" s="17">
        <v>177.35</v>
      </c>
      <c r="K929" s="17">
        <v>73.86</v>
      </c>
      <c r="L929" s="20" t="s">
        <v>17</v>
      </c>
    </row>
    <row r="930" spans="1:12" x14ac:dyDescent="0.25">
      <c r="A930" s="11">
        <v>2024</v>
      </c>
      <c r="B930" s="12" t="s">
        <v>35</v>
      </c>
      <c r="C930" s="12" t="s">
        <v>30</v>
      </c>
      <c r="D930" s="12" t="s">
        <v>24</v>
      </c>
      <c r="E930" s="13">
        <v>28349</v>
      </c>
      <c r="F930" s="14">
        <v>29473665.23</v>
      </c>
      <c r="G930" s="12">
        <v>6.51</v>
      </c>
      <c r="H930" s="12">
        <v>94.18</v>
      </c>
      <c r="I930" s="12">
        <v>34.270000000000003</v>
      </c>
      <c r="J930" s="12">
        <v>103.77</v>
      </c>
      <c r="K930" s="12">
        <v>65.41</v>
      </c>
      <c r="L930" s="15" t="s">
        <v>15</v>
      </c>
    </row>
    <row r="931" spans="1:12" x14ac:dyDescent="0.25">
      <c r="A931" s="16">
        <v>2024</v>
      </c>
      <c r="B931" s="17" t="s">
        <v>35</v>
      </c>
      <c r="C931" s="17" t="s">
        <v>31</v>
      </c>
      <c r="D931" s="17" t="s">
        <v>24</v>
      </c>
      <c r="E931" s="18">
        <v>33169</v>
      </c>
      <c r="F931" s="19">
        <v>35954900.030000001</v>
      </c>
      <c r="G931" s="17">
        <v>5.42</v>
      </c>
      <c r="H931" s="17">
        <v>53.54</v>
      </c>
      <c r="I931" s="17">
        <v>26.02</v>
      </c>
      <c r="J931" s="17">
        <v>294.86</v>
      </c>
      <c r="K931" s="17">
        <v>54.66</v>
      </c>
      <c r="L931" s="20" t="s">
        <v>27</v>
      </c>
    </row>
    <row r="932" spans="1:12" x14ac:dyDescent="0.25">
      <c r="A932" s="11">
        <v>2024</v>
      </c>
      <c r="B932" s="12" t="s">
        <v>35</v>
      </c>
      <c r="C932" s="12" t="s">
        <v>32</v>
      </c>
      <c r="D932" s="12" t="s">
        <v>24</v>
      </c>
      <c r="E932" s="13">
        <v>7463</v>
      </c>
      <c r="F932" s="14">
        <v>54322194.789999999</v>
      </c>
      <c r="G932" s="12">
        <v>3.42</v>
      </c>
      <c r="H932" s="12">
        <v>84.33</v>
      </c>
      <c r="I932" s="12">
        <v>29.05</v>
      </c>
      <c r="J932" s="12">
        <v>82.85</v>
      </c>
      <c r="K932" s="12">
        <v>88.18</v>
      </c>
      <c r="L932" s="15" t="s">
        <v>21</v>
      </c>
    </row>
    <row r="933" spans="1:12" x14ac:dyDescent="0.25">
      <c r="A933" s="16">
        <v>2024</v>
      </c>
      <c r="B933" s="17" t="s">
        <v>35</v>
      </c>
      <c r="C933" s="17" t="s">
        <v>33</v>
      </c>
      <c r="D933" s="17" t="s">
        <v>24</v>
      </c>
      <c r="E933" s="18">
        <v>16723</v>
      </c>
      <c r="F933" s="19">
        <v>10462398.76</v>
      </c>
      <c r="G933" s="17">
        <v>5.79</v>
      </c>
      <c r="H933" s="17">
        <v>80.56</v>
      </c>
      <c r="I933" s="17">
        <v>28.87</v>
      </c>
      <c r="J933" s="17">
        <v>162.51</v>
      </c>
      <c r="K933" s="17">
        <v>72.81</v>
      </c>
      <c r="L933" s="20" t="s">
        <v>19</v>
      </c>
    </row>
    <row r="934" spans="1:12" x14ac:dyDescent="0.25">
      <c r="A934" s="11">
        <v>2024</v>
      </c>
      <c r="B934" s="12" t="s">
        <v>35</v>
      </c>
      <c r="C934" s="12" t="s">
        <v>34</v>
      </c>
      <c r="D934" s="12" t="s">
        <v>24</v>
      </c>
      <c r="E934" s="13">
        <v>44327</v>
      </c>
      <c r="F934" s="14">
        <v>51331262.543999903</v>
      </c>
      <c r="G934" s="12">
        <v>4.95</v>
      </c>
      <c r="H934" s="12">
        <v>78.31</v>
      </c>
      <c r="I934" s="12">
        <v>41.66</v>
      </c>
      <c r="J934" s="12">
        <v>198.84</v>
      </c>
      <c r="K934" s="12">
        <v>46.44</v>
      </c>
      <c r="L934" s="15" t="s">
        <v>19</v>
      </c>
    </row>
    <row r="935" spans="1:12" x14ac:dyDescent="0.25">
      <c r="A935" s="16">
        <v>2024</v>
      </c>
      <c r="B935" s="17" t="s">
        <v>36</v>
      </c>
      <c r="C935" s="17" t="s">
        <v>13</v>
      </c>
      <c r="D935" s="17" t="s">
        <v>14</v>
      </c>
      <c r="E935" s="18">
        <v>32671</v>
      </c>
      <c r="F935" s="19">
        <v>47591496.990000002</v>
      </c>
      <c r="G935" s="17">
        <v>2.77</v>
      </c>
      <c r="H935" s="17">
        <v>27.94</v>
      </c>
      <c r="I935" s="17">
        <v>32.880000000000003</v>
      </c>
      <c r="J935" s="17">
        <v>71.209999999999994</v>
      </c>
      <c r="K935" s="17">
        <v>82.95</v>
      </c>
      <c r="L935" s="20" t="s">
        <v>15</v>
      </c>
    </row>
    <row r="936" spans="1:12" x14ac:dyDescent="0.25">
      <c r="A936" s="11">
        <v>2024</v>
      </c>
      <c r="B936" s="12" t="s">
        <v>36</v>
      </c>
      <c r="C936" s="12" t="s">
        <v>16</v>
      </c>
      <c r="D936" s="12" t="s">
        <v>14</v>
      </c>
      <c r="E936" s="13">
        <v>40214</v>
      </c>
      <c r="F936" s="14">
        <v>41136987.82</v>
      </c>
      <c r="G936" s="12">
        <v>0.13999999999999899</v>
      </c>
      <c r="H936" s="12">
        <v>87.83</v>
      </c>
      <c r="I936" s="12">
        <v>40.29</v>
      </c>
      <c r="J936" s="12">
        <v>259.95</v>
      </c>
      <c r="K936" s="12">
        <v>42.51</v>
      </c>
      <c r="L936" s="15" t="s">
        <v>15</v>
      </c>
    </row>
    <row r="937" spans="1:12" x14ac:dyDescent="0.25">
      <c r="A937" s="16">
        <v>2024</v>
      </c>
      <c r="B937" s="17" t="s">
        <v>36</v>
      </c>
      <c r="C937" s="17" t="s">
        <v>18</v>
      </c>
      <c r="D937" s="17" t="s">
        <v>14</v>
      </c>
      <c r="E937" s="18">
        <v>5564</v>
      </c>
      <c r="F937" s="19">
        <v>59801417.460000001</v>
      </c>
      <c r="G937" s="17">
        <v>3.5</v>
      </c>
      <c r="H937" s="17">
        <v>48.6</v>
      </c>
      <c r="I937" s="17">
        <v>29.86</v>
      </c>
      <c r="J937" s="17">
        <v>213.04</v>
      </c>
      <c r="K937" s="17">
        <v>46.39</v>
      </c>
      <c r="L937" s="20" t="s">
        <v>27</v>
      </c>
    </row>
    <row r="938" spans="1:12" x14ac:dyDescent="0.25">
      <c r="A938" s="11">
        <v>2024</v>
      </c>
      <c r="B938" s="12" t="s">
        <v>36</v>
      </c>
      <c r="C938" s="12" t="s">
        <v>20</v>
      </c>
      <c r="D938" s="12" t="s">
        <v>14</v>
      </c>
      <c r="E938" s="13">
        <v>19903</v>
      </c>
      <c r="F938" s="14">
        <v>17437926.68</v>
      </c>
      <c r="G938" s="12">
        <v>3.41</v>
      </c>
      <c r="H938" s="12">
        <v>61.77</v>
      </c>
      <c r="I938" s="12">
        <v>2.81</v>
      </c>
      <c r="J938" s="12">
        <v>289.86</v>
      </c>
      <c r="K938" s="12">
        <v>52.2</v>
      </c>
      <c r="L938" s="15" t="s">
        <v>19</v>
      </c>
    </row>
    <row r="939" spans="1:12" x14ac:dyDescent="0.25">
      <c r="A939" s="16">
        <v>2024</v>
      </c>
      <c r="B939" s="17" t="s">
        <v>36</v>
      </c>
      <c r="C939" s="17" t="s">
        <v>22</v>
      </c>
      <c r="D939" s="17" t="s">
        <v>14</v>
      </c>
      <c r="E939" s="18">
        <v>21386</v>
      </c>
      <c r="F939" s="19">
        <v>36904339.770000003</v>
      </c>
      <c r="G939" s="17">
        <v>2.99</v>
      </c>
      <c r="H939" s="17">
        <v>72.989999999999995</v>
      </c>
      <c r="I939" s="17">
        <v>35.39</v>
      </c>
      <c r="J939" s="17">
        <v>296.75</v>
      </c>
      <c r="K939" s="17">
        <v>75.59</v>
      </c>
      <c r="L939" s="20" t="s">
        <v>17</v>
      </c>
    </row>
    <row r="940" spans="1:12" x14ac:dyDescent="0.25">
      <c r="A940" s="11">
        <v>2024</v>
      </c>
      <c r="B940" s="12" t="s">
        <v>36</v>
      </c>
      <c r="C940" s="12" t="s">
        <v>23</v>
      </c>
      <c r="D940" s="12" t="s">
        <v>24</v>
      </c>
      <c r="E940" s="13">
        <v>27969</v>
      </c>
      <c r="F940" s="14">
        <v>70164647.829999998</v>
      </c>
      <c r="G940" s="12">
        <v>2.62</v>
      </c>
      <c r="H940" s="12">
        <v>46.76</v>
      </c>
      <c r="I940" s="12">
        <v>43.61</v>
      </c>
      <c r="J940" s="12">
        <v>103.25</v>
      </c>
      <c r="K940" s="12">
        <v>63.21</v>
      </c>
      <c r="L940" s="15" t="s">
        <v>19</v>
      </c>
    </row>
    <row r="941" spans="1:12" x14ac:dyDescent="0.25">
      <c r="A941" s="16">
        <v>2024</v>
      </c>
      <c r="B941" s="17" t="s">
        <v>36</v>
      </c>
      <c r="C941" s="17" t="s">
        <v>25</v>
      </c>
      <c r="D941" s="17" t="s">
        <v>24</v>
      </c>
      <c r="E941" s="18">
        <v>37433</v>
      </c>
      <c r="F941" s="19">
        <v>18338586.460000001</v>
      </c>
      <c r="G941" s="17">
        <v>4.04</v>
      </c>
      <c r="H941" s="17">
        <v>87.64</v>
      </c>
      <c r="I941" s="17">
        <v>53.76</v>
      </c>
      <c r="J941" s="17">
        <v>101.77</v>
      </c>
      <c r="K941" s="17">
        <v>50.02</v>
      </c>
      <c r="L941" s="20" t="s">
        <v>19</v>
      </c>
    </row>
    <row r="942" spans="1:12" x14ac:dyDescent="0.25">
      <c r="A942" s="11">
        <v>2024</v>
      </c>
      <c r="B942" s="12" t="s">
        <v>36</v>
      </c>
      <c r="C942" s="12" t="s">
        <v>26</v>
      </c>
      <c r="D942" s="12" t="s">
        <v>24</v>
      </c>
      <c r="E942" s="13">
        <v>39286</v>
      </c>
      <c r="F942" s="14">
        <v>60220617.189999998</v>
      </c>
      <c r="G942" s="12">
        <v>3.28</v>
      </c>
      <c r="H942" s="12">
        <v>52.62</v>
      </c>
      <c r="I942" s="12">
        <v>54.48</v>
      </c>
      <c r="J942" s="12">
        <v>284.67</v>
      </c>
      <c r="K942" s="12">
        <v>72.09</v>
      </c>
      <c r="L942" s="15" t="s">
        <v>27</v>
      </c>
    </row>
    <row r="943" spans="1:12" x14ac:dyDescent="0.25">
      <c r="A943" s="16">
        <v>2024</v>
      </c>
      <c r="B943" s="17" t="s">
        <v>36</v>
      </c>
      <c r="C943" s="17" t="s">
        <v>28</v>
      </c>
      <c r="D943" s="17" t="s">
        <v>24</v>
      </c>
      <c r="E943" s="18">
        <v>53528</v>
      </c>
      <c r="F943" s="19">
        <v>21387152.239999998</v>
      </c>
      <c r="G943" s="17">
        <v>6.42</v>
      </c>
      <c r="H943" s="17">
        <v>103.82</v>
      </c>
      <c r="I943" s="17">
        <v>51.01</v>
      </c>
      <c r="J943" s="17">
        <v>130.55000000000001</v>
      </c>
      <c r="K943" s="17">
        <v>85.26</v>
      </c>
      <c r="L943" s="20" t="s">
        <v>19</v>
      </c>
    </row>
    <row r="944" spans="1:12" x14ac:dyDescent="0.25">
      <c r="A944" s="11">
        <v>2024</v>
      </c>
      <c r="B944" s="12" t="s">
        <v>36</v>
      </c>
      <c r="C944" s="12" t="s">
        <v>29</v>
      </c>
      <c r="D944" s="12" t="s">
        <v>24</v>
      </c>
      <c r="E944" s="13">
        <v>35291</v>
      </c>
      <c r="F944" s="14">
        <v>49226395.399999999</v>
      </c>
      <c r="G944" s="12">
        <v>6.75</v>
      </c>
      <c r="H944" s="12">
        <v>62.89</v>
      </c>
      <c r="I944" s="12">
        <v>24.49</v>
      </c>
      <c r="J944" s="12">
        <v>220.65</v>
      </c>
      <c r="K944" s="12">
        <v>89.72</v>
      </c>
      <c r="L944" s="15" t="s">
        <v>21</v>
      </c>
    </row>
    <row r="945" spans="1:12" x14ac:dyDescent="0.25">
      <c r="A945" s="16">
        <v>2024</v>
      </c>
      <c r="B945" s="17" t="s">
        <v>36</v>
      </c>
      <c r="C945" s="17" t="s">
        <v>30</v>
      </c>
      <c r="D945" s="17" t="s">
        <v>24</v>
      </c>
      <c r="E945" s="18">
        <v>59709</v>
      </c>
      <c r="F945" s="19">
        <v>24247149.039999999</v>
      </c>
      <c r="G945" s="17">
        <v>6.3</v>
      </c>
      <c r="H945" s="17">
        <v>103.78</v>
      </c>
      <c r="I945" s="17">
        <v>12.99</v>
      </c>
      <c r="J945" s="17">
        <v>284.37</v>
      </c>
      <c r="K945" s="17">
        <v>67.069999999999993</v>
      </c>
      <c r="L945" s="20" t="s">
        <v>19</v>
      </c>
    </row>
    <row r="946" spans="1:12" x14ac:dyDescent="0.25">
      <c r="A946" s="11">
        <v>2024</v>
      </c>
      <c r="B946" s="12" t="s">
        <v>36</v>
      </c>
      <c r="C946" s="12" t="s">
        <v>31</v>
      </c>
      <c r="D946" s="12" t="s">
        <v>24</v>
      </c>
      <c r="E946" s="13">
        <v>43568</v>
      </c>
      <c r="F946" s="14">
        <v>7815666.2519999901</v>
      </c>
      <c r="G946" s="12">
        <v>5.04</v>
      </c>
      <c r="H946" s="12">
        <v>74.459999999999994</v>
      </c>
      <c r="I946" s="12">
        <v>45.39</v>
      </c>
      <c r="J946" s="12">
        <v>255.35</v>
      </c>
      <c r="K946" s="12">
        <v>72.28</v>
      </c>
      <c r="L946" s="15" t="s">
        <v>21</v>
      </c>
    </row>
    <row r="947" spans="1:12" x14ac:dyDescent="0.25">
      <c r="A947" s="16">
        <v>2024</v>
      </c>
      <c r="B947" s="17" t="s">
        <v>36</v>
      </c>
      <c r="C947" s="17" t="s">
        <v>32</v>
      </c>
      <c r="D947" s="17" t="s">
        <v>24</v>
      </c>
      <c r="E947" s="18">
        <v>14266</v>
      </c>
      <c r="F947" s="19">
        <v>34815441.960000001</v>
      </c>
      <c r="G947" s="17">
        <v>4.33</v>
      </c>
      <c r="H947" s="17">
        <v>40.78</v>
      </c>
      <c r="I947" s="17">
        <v>17.489999999999998</v>
      </c>
      <c r="J947" s="17">
        <v>190.78</v>
      </c>
      <c r="K947" s="17">
        <v>88.08</v>
      </c>
      <c r="L947" s="20" t="s">
        <v>17</v>
      </c>
    </row>
    <row r="948" spans="1:12" x14ac:dyDescent="0.25">
      <c r="A948" s="11">
        <v>2024</v>
      </c>
      <c r="B948" s="12" t="s">
        <v>36</v>
      </c>
      <c r="C948" s="12" t="s">
        <v>33</v>
      </c>
      <c r="D948" s="12" t="s">
        <v>24</v>
      </c>
      <c r="E948" s="13">
        <v>15763</v>
      </c>
      <c r="F948" s="14">
        <v>7376208.852</v>
      </c>
      <c r="G948" s="12">
        <v>5.89</v>
      </c>
      <c r="H948" s="12">
        <v>74.459999999999994</v>
      </c>
      <c r="I948" s="12">
        <v>50.36</v>
      </c>
      <c r="J948" s="12">
        <v>173.23</v>
      </c>
      <c r="K948" s="12">
        <v>52.39</v>
      </c>
      <c r="L948" s="15" t="s">
        <v>21</v>
      </c>
    </row>
    <row r="949" spans="1:12" x14ac:dyDescent="0.25">
      <c r="A949" s="16">
        <v>2024</v>
      </c>
      <c r="B949" s="17" t="s">
        <v>36</v>
      </c>
      <c r="C949" s="17" t="s">
        <v>34</v>
      </c>
      <c r="D949" s="17" t="s">
        <v>24</v>
      </c>
      <c r="E949" s="18">
        <v>37683</v>
      </c>
      <c r="F949" s="19">
        <v>25975311.579999998</v>
      </c>
      <c r="G949" s="17">
        <v>6.15</v>
      </c>
      <c r="H949" s="17">
        <v>87.83</v>
      </c>
      <c r="I949" s="17">
        <v>29.56</v>
      </c>
      <c r="J949" s="17">
        <v>270.57</v>
      </c>
      <c r="K949" s="17">
        <v>63.33</v>
      </c>
      <c r="L949" s="20" t="s">
        <v>27</v>
      </c>
    </row>
    <row r="950" spans="1:12" x14ac:dyDescent="0.25">
      <c r="A950" s="11">
        <v>2024</v>
      </c>
      <c r="B950" s="12" t="s">
        <v>37</v>
      </c>
      <c r="C950" s="12" t="s">
        <v>13</v>
      </c>
      <c r="D950" s="12" t="s">
        <v>14</v>
      </c>
      <c r="E950" s="13">
        <v>9805</v>
      </c>
      <c r="F950" s="14">
        <v>4494602.4929999998</v>
      </c>
      <c r="G950" s="12">
        <v>0.27</v>
      </c>
      <c r="H950" s="12">
        <v>59.49</v>
      </c>
      <c r="I950" s="12">
        <v>16.98</v>
      </c>
      <c r="J950" s="12">
        <v>203.22</v>
      </c>
      <c r="K950" s="12">
        <v>57.32</v>
      </c>
      <c r="L950" s="15" t="s">
        <v>19</v>
      </c>
    </row>
    <row r="951" spans="1:12" x14ac:dyDescent="0.25">
      <c r="A951" s="16">
        <v>2024</v>
      </c>
      <c r="B951" s="17" t="s">
        <v>37</v>
      </c>
      <c r="C951" s="17" t="s">
        <v>16</v>
      </c>
      <c r="D951" s="17" t="s">
        <v>14</v>
      </c>
      <c r="E951" s="18">
        <v>39017</v>
      </c>
      <c r="F951" s="19">
        <v>15031174.35</v>
      </c>
      <c r="G951" s="17">
        <v>1.95</v>
      </c>
      <c r="H951" s="17">
        <v>50.4</v>
      </c>
      <c r="I951" s="17">
        <v>25.44</v>
      </c>
      <c r="J951" s="17">
        <v>268.60000000000002</v>
      </c>
      <c r="K951" s="17">
        <v>38.07</v>
      </c>
      <c r="L951" s="20" t="s">
        <v>15</v>
      </c>
    </row>
    <row r="952" spans="1:12" x14ac:dyDescent="0.25">
      <c r="A952" s="11">
        <v>2024</v>
      </c>
      <c r="B952" s="12" t="s">
        <v>37</v>
      </c>
      <c r="C952" s="12" t="s">
        <v>18</v>
      </c>
      <c r="D952" s="12" t="s">
        <v>14</v>
      </c>
      <c r="E952" s="13">
        <v>7534</v>
      </c>
      <c r="F952" s="14">
        <v>29771391.219999999</v>
      </c>
      <c r="G952" s="12">
        <v>3.55</v>
      </c>
      <c r="H952" s="12">
        <v>47.5</v>
      </c>
      <c r="I952" s="12">
        <v>12.56</v>
      </c>
      <c r="J952" s="12">
        <v>51.73</v>
      </c>
      <c r="K952" s="12">
        <v>74.44</v>
      </c>
      <c r="L952" s="15" t="s">
        <v>27</v>
      </c>
    </row>
    <row r="953" spans="1:12" x14ac:dyDescent="0.25">
      <c r="A953" s="16">
        <v>2024</v>
      </c>
      <c r="B953" s="17" t="s">
        <v>37</v>
      </c>
      <c r="C953" s="17" t="s">
        <v>20</v>
      </c>
      <c r="D953" s="17" t="s">
        <v>14</v>
      </c>
      <c r="E953" s="18">
        <v>42266</v>
      </c>
      <c r="F953" s="19">
        <v>23557754.829999998</v>
      </c>
      <c r="G953" s="17">
        <v>0.34</v>
      </c>
      <c r="H953" s="17">
        <v>86.28</v>
      </c>
      <c r="I953" s="17">
        <v>26.49</v>
      </c>
      <c r="J953" s="17">
        <v>294.81</v>
      </c>
      <c r="K953" s="17">
        <v>51.79</v>
      </c>
      <c r="L953" s="20" t="s">
        <v>17</v>
      </c>
    </row>
    <row r="954" spans="1:12" x14ac:dyDescent="0.25">
      <c r="A954" s="11">
        <v>2024</v>
      </c>
      <c r="B954" s="12" t="s">
        <v>37</v>
      </c>
      <c r="C954" s="12" t="s">
        <v>22</v>
      </c>
      <c r="D954" s="12" t="s">
        <v>14</v>
      </c>
      <c r="E954" s="13">
        <v>28852</v>
      </c>
      <c r="F954" s="14">
        <v>14365866.470000001</v>
      </c>
      <c r="G954" s="12">
        <v>0.22999999999999901</v>
      </c>
      <c r="H954" s="12">
        <v>46.1</v>
      </c>
      <c r="I954" s="12">
        <v>3.47</v>
      </c>
      <c r="J954" s="12">
        <v>194.32</v>
      </c>
      <c r="K954" s="12">
        <v>86.51</v>
      </c>
      <c r="L954" s="15" t="s">
        <v>19</v>
      </c>
    </row>
    <row r="955" spans="1:12" x14ac:dyDescent="0.25">
      <c r="A955" s="16">
        <v>2024</v>
      </c>
      <c r="B955" s="17" t="s">
        <v>37</v>
      </c>
      <c r="C955" s="17" t="s">
        <v>23</v>
      </c>
      <c r="D955" s="17" t="s">
        <v>24</v>
      </c>
      <c r="E955" s="18">
        <v>25724</v>
      </c>
      <c r="F955" s="19">
        <v>57565236.579999998</v>
      </c>
      <c r="G955" s="17">
        <v>5.68</v>
      </c>
      <c r="H955" s="17">
        <v>69.979999999999905</v>
      </c>
      <c r="I955" s="17">
        <v>34.17</v>
      </c>
      <c r="J955" s="17">
        <v>231.5</v>
      </c>
      <c r="K955" s="17">
        <v>84.08</v>
      </c>
      <c r="L955" s="20" t="s">
        <v>17</v>
      </c>
    </row>
    <row r="956" spans="1:12" x14ac:dyDescent="0.25">
      <c r="A956" s="11">
        <v>2024</v>
      </c>
      <c r="B956" s="12" t="s">
        <v>37</v>
      </c>
      <c r="C956" s="12" t="s">
        <v>25</v>
      </c>
      <c r="D956" s="12" t="s">
        <v>24</v>
      </c>
      <c r="E956" s="13">
        <v>10554</v>
      </c>
      <c r="F956" s="14">
        <v>21897425.739999998</v>
      </c>
      <c r="G956" s="12">
        <v>5.35</v>
      </c>
      <c r="H956" s="12">
        <v>41.87</v>
      </c>
      <c r="I956" s="12">
        <v>19.649999999999999</v>
      </c>
      <c r="J956" s="12">
        <v>187.87</v>
      </c>
      <c r="K956" s="12">
        <v>87.11</v>
      </c>
      <c r="L956" s="15" t="s">
        <v>15</v>
      </c>
    </row>
    <row r="957" spans="1:12" x14ac:dyDescent="0.25">
      <c r="A957" s="16">
        <v>2024</v>
      </c>
      <c r="B957" s="17" t="s">
        <v>37</v>
      </c>
      <c r="C957" s="17" t="s">
        <v>26</v>
      </c>
      <c r="D957" s="17" t="s">
        <v>24</v>
      </c>
      <c r="E957" s="18">
        <v>63966</v>
      </c>
      <c r="F957" s="19">
        <v>35148376</v>
      </c>
      <c r="G957" s="17">
        <v>3.86</v>
      </c>
      <c r="H957" s="17">
        <v>68.180000000000007</v>
      </c>
      <c r="I957" s="17">
        <v>37.299999999999997</v>
      </c>
      <c r="J957" s="17">
        <v>171.35</v>
      </c>
      <c r="K957" s="17">
        <v>81.11</v>
      </c>
      <c r="L957" s="20" t="s">
        <v>21</v>
      </c>
    </row>
    <row r="958" spans="1:12" x14ac:dyDescent="0.25">
      <c r="A958" s="11">
        <v>2024</v>
      </c>
      <c r="B958" s="12" t="s">
        <v>37</v>
      </c>
      <c r="C958" s="12" t="s">
        <v>28</v>
      </c>
      <c r="D958" s="12" t="s">
        <v>24</v>
      </c>
      <c r="E958" s="13">
        <v>50336</v>
      </c>
      <c r="F958" s="14">
        <v>24239867.16</v>
      </c>
      <c r="G958" s="12">
        <v>4.0599999999999996</v>
      </c>
      <c r="H958" s="12">
        <v>44.48</v>
      </c>
      <c r="I958" s="12">
        <v>16.75</v>
      </c>
      <c r="J958" s="12">
        <v>205.63</v>
      </c>
      <c r="K958" s="12">
        <v>73.459999999999994</v>
      </c>
      <c r="L958" s="15" t="s">
        <v>19</v>
      </c>
    </row>
    <row r="959" spans="1:12" x14ac:dyDescent="0.25">
      <c r="A959" s="16">
        <v>2024</v>
      </c>
      <c r="B959" s="17" t="s">
        <v>37</v>
      </c>
      <c r="C959" s="17" t="s">
        <v>29</v>
      </c>
      <c r="D959" s="17" t="s">
        <v>24</v>
      </c>
      <c r="E959" s="18">
        <v>35834</v>
      </c>
      <c r="F959" s="19">
        <v>8672653.0079999994</v>
      </c>
      <c r="G959" s="17">
        <v>3.47</v>
      </c>
      <c r="H959" s="17">
        <v>79.11</v>
      </c>
      <c r="I959" s="17">
        <v>20.48</v>
      </c>
      <c r="J959" s="17">
        <v>97.86</v>
      </c>
      <c r="K959" s="17">
        <v>49</v>
      </c>
      <c r="L959" s="20" t="s">
        <v>19</v>
      </c>
    </row>
    <row r="960" spans="1:12" x14ac:dyDescent="0.25">
      <c r="A960" s="11">
        <v>2024</v>
      </c>
      <c r="B960" s="12" t="s">
        <v>37</v>
      </c>
      <c r="C960" s="12" t="s">
        <v>30</v>
      </c>
      <c r="D960" s="12" t="s">
        <v>24</v>
      </c>
      <c r="E960" s="13">
        <v>28368</v>
      </c>
      <c r="F960" s="14">
        <v>17639255.890000001</v>
      </c>
      <c r="G960" s="12">
        <v>5.79</v>
      </c>
      <c r="H960" s="12">
        <v>47.78</v>
      </c>
      <c r="I960" s="12">
        <v>35.700000000000003</v>
      </c>
      <c r="J960" s="12">
        <v>99.55</v>
      </c>
      <c r="K960" s="12">
        <v>92.85</v>
      </c>
      <c r="L960" s="15" t="s">
        <v>27</v>
      </c>
    </row>
    <row r="961" spans="1:12" x14ac:dyDescent="0.25">
      <c r="A961" s="16">
        <v>2024</v>
      </c>
      <c r="B961" s="17" t="s">
        <v>37</v>
      </c>
      <c r="C961" s="17" t="s">
        <v>31</v>
      </c>
      <c r="D961" s="17" t="s">
        <v>24</v>
      </c>
      <c r="E961" s="18">
        <v>31313</v>
      </c>
      <c r="F961" s="19">
        <v>33616387.43</v>
      </c>
      <c r="G961" s="17">
        <v>6.7</v>
      </c>
      <c r="H961" s="17">
        <v>59.12</v>
      </c>
      <c r="I961" s="17">
        <v>51.35</v>
      </c>
      <c r="J961" s="17">
        <v>229.94</v>
      </c>
      <c r="K961" s="17">
        <v>66.099999999999994</v>
      </c>
      <c r="L961" s="20" t="s">
        <v>21</v>
      </c>
    </row>
    <row r="962" spans="1:12" x14ac:dyDescent="0.25">
      <c r="A962" s="11">
        <v>2024</v>
      </c>
      <c r="B962" s="12" t="s">
        <v>37</v>
      </c>
      <c r="C962" s="12" t="s">
        <v>32</v>
      </c>
      <c r="D962" s="12" t="s">
        <v>24</v>
      </c>
      <c r="E962" s="13">
        <v>10175</v>
      </c>
      <c r="F962" s="14">
        <v>31584423.949999999</v>
      </c>
      <c r="G962" s="12">
        <v>6.39</v>
      </c>
      <c r="H962" s="12">
        <v>86.4</v>
      </c>
      <c r="I962" s="12">
        <v>6.87</v>
      </c>
      <c r="J962" s="12">
        <v>170.92</v>
      </c>
      <c r="K962" s="12">
        <v>87.54</v>
      </c>
      <c r="L962" s="15" t="s">
        <v>15</v>
      </c>
    </row>
    <row r="963" spans="1:12" x14ac:dyDescent="0.25">
      <c r="A963" s="16">
        <v>2024</v>
      </c>
      <c r="B963" s="17" t="s">
        <v>37</v>
      </c>
      <c r="C963" s="17" t="s">
        <v>33</v>
      </c>
      <c r="D963" s="17" t="s">
        <v>24</v>
      </c>
      <c r="E963" s="18">
        <v>27459</v>
      </c>
      <c r="F963" s="19">
        <v>48297091.175999902</v>
      </c>
      <c r="G963" s="17">
        <v>2.65</v>
      </c>
      <c r="H963" s="17">
        <v>73.66</v>
      </c>
      <c r="I963" s="17">
        <v>17.95</v>
      </c>
      <c r="J963" s="17">
        <v>186.37</v>
      </c>
      <c r="K963" s="17">
        <v>92.94</v>
      </c>
      <c r="L963" s="20" t="s">
        <v>21</v>
      </c>
    </row>
    <row r="964" spans="1:12" x14ac:dyDescent="0.25">
      <c r="A964" s="11">
        <v>2024</v>
      </c>
      <c r="B964" s="12" t="s">
        <v>37</v>
      </c>
      <c r="C964" s="12" t="s">
        <v>34</v>
      </c>
      <c r="D964" s="12" t="s">
        <v>24</v>
      </c>
      <c r="E964" s="13">
        <v>23576</v>
      </c>
      <c r="F964" s="14">
        <v>7378715.04</v>
      </c>
      <c r="G964" s="12">
        <v>4.9400000000000004</v>
      </c>
      <c r="H964" s="12">
        <v>92.65</v>
      </c>
      <c r="I964" s="12">
        <v>27.65</v>
      </c>
      <c r="J964" s="12">
        <v>261.8</v>
      </c>
      <c r="K964" s="12">
        <v>75.180000000000007</v>
      </c>
      <c r="L964" s="15" t="s">
        <v>15</v>
      </c>
    </row>
    <row r="965" spans="1:12" x14ac:dyDescent="0.25">
      <c r="A965" s="16">
        <v>2024</v>
      </c>
      <c r="B965" s="17" t="s">
        <v>12</v>
      </c>
      <c r="C965" s="17" t="s">
        <v>31</v>
      </c>
      <c r="D965" s="17" t="s">
        <v>24</v>
      </c>
      <c r="E965" s="18">
        <v>6628</v>
      </c>
      <c r="F965" s="19">
        <v>36995468.590000004</v>
      </c>
      <c r="G965" s="17">
        <v>4.8099999999999996</v>
      </c>
      <c r="H965" s="17">
        <v>93.86</v>
      </c>
      <c r="I965" s="17">
        <v>26.43</v>
      </c>
      <c r="J965" s="17">
        <v>157.51</v>
      </c>
      <c r="K965" s="17">
        <v>45.53</v>
      </c>
      <c r="L965" s="20" t="s">
        <v>27</v>
      </c>
    </row>
    <row r="966" spans="1:12" x14ac:dyDescent="0.25">
      <c r="A966" s="11">
        <v>2024</v>
      </c>
      <c r="B966" s="12" t="s">
        <v>35</v>
      </c>
      <c r="C966" s="12" t="s">
        <v>26</v>
      </c>
      <c r="D966" s="12" t="s">
        <v>24</v>
      </c>
      <c r="E966" s="13">
        <v>14587</v>
      </c>
      <c r="F966" s="14">
        <v>28041204.800000001</v>
      </c>
      <c r="G966" s="12">
        <v>2.85</v>
      </c>
      <c r="H966" s="12">
        <v>53.66</v>
      </c>
      <c r="I966" s="12">
        <v>51.8</v>
      </c>
      <c r="J966" s="12">
        <v>126.75</v>
      </c>
      <c r="K966" s="12">
        <v>94.43</v>
      </c>
      <c r="L966" s="15" t="s">
        <v>15</v>
      </c>
    </row>
    <row r="967" spans="1:12" x14ac:dyDescent="0.25">
      <c r="A967" s="16">
        <v>2024</v>
      </c>
      <c r="B967" s="17" t="s">
        <v>12</v>
      </c>
      <c r="C967" s="17" t="s">
        <v>28</v>
      </c>
      <c r="D967" s="17" t="s">
        <v>24</v>
      </c>
      <c r="E967" s="18">
        <v>62968</v>
      </c>
      <c r="F967" s="19">
        <v>36037742.340000004</v>
      </c>
      <c r="G967" s="17">
        <v>3.27</v>
      </c>
      <c r="H967" s="17">
        <v>91.81</v>
      </c>
      <c r="I967" s="17">
        <v>35.090000000000003</v>
      </c>
      <c r="J967" s="17">
        <v>236.61</v>
      </c>
      <c r="K967" s="17">
        <v>93.38</v>
      </c>
      <c r="L967" s="20" t="s">
        <v>19</v>
      </c>
    </row>
    <row r="968" spans="1:12" x14ac:dyDescent="0.25">
      <c r="A968" s="11">
        <v>2024</v>
      </c>
      <c r="B968" s="12" t="s">
        <v>35</v>
      </c>
      <c r="C968" s="12" t="s">
        <v>34</v>
      </c>
      <c r="D968" s="12" t="s">
        <v>24</v>
      </c>
      <c r="E968" s="13">
        <v>44327</v>
      </c>
      <c r="F968" s="14">
        <v>51331262.543999903</v>
      </c>
      <c r="G968" s="12">
        <v>4.95</v>
      </c>
      <c r="H968" s="12">
        <v>78.31</v>
      </c>
      <c r="I968" s="12">
        <v>41.66</v>
      </c>
      <c r="J968" s="12">
        <v>198.84</v>
      </c>
      <c r="K968" s="12">
        <v>46.44</v>
      </c>
      <c r="L968" s="15" t="s">
        <v>19</v>
      </c>
    </row>
    <row r="969" spans="1:12" x14ac:dyDescent="0.25">
      <c r="A969" s="16">
        <v>2024</v>
      </c>
      <c r="B969" s="17" t="s">
        <v>36</v>
      </c>
      <c r="C969" s="17" t="s">
        <v>30</v>
      </c>
      <c r="D969" s="17" t="s">
        <v>24</v>
      </c>
      <c r="E969" s="18">
        <v>59709</v>
      </c>
      <c r="F969" s="19">
        <v>24247149.039999999</v>
      </c>
      <c r="G969" s="17">
        <v>6.3</v>
      </c>
      <c r="H969" s="17">
        <v>103.78</v>
      </c>
      <c r="I969" s="17">
        <v>12.99</v>
      </c>
      <c r="J969" s="17">
        <v>284.37</v>
      </c>
      <c r="K969" s="17">
        <v>67.069999999999993</v>
      </c>
      <c r="L969" s="20" t="s">
        <v>19</v>
      </c>
    </row>
    <row r="970" spans="1:12" x14ac:dyDescent="0.25">
      <c r="A970" s="11">
        <v>2024</v>
      </c>
      <c r="B970" s="12" t="s">
        <v>37</v>
      </c>
      <c r="C970" s="12" t="s">
        <v>18</v>
      </c>
      <c r="D970" s="12" t="s">
        <v>14</v>
      </c>
      <c r="E970" s="13">
        <v>7534</v>
      </c>
      <c r="F970" s="14">
        <v>29771391.219999999</v>
      </c>
      <c r="G970" s="12">
        <v>3.55</v>
      </c>
      <c r="H970" s="12">
        <v>47.5</v>
      </c>
      <c r="I970" s="12">
        <v>12.56</v>
      </c>
      <c r="J970" s="12">
        <v>51.73</v>
      </c>
      <c r="K970" s="12">
        <v>74.44</v>
      </c>
      <c r="L970" s="15" t="s">
        <v>27</v>
      </c>
    </row>
    <row r="971" spans="1:12" x14ac:dyDescent="0.25">
      <c r="A971" s="16">
        <v>2024</v>
      </c>
      <c r="B971" s="17" t="s">
        <v>37</v>
      </c>
      <c r="C971" s="17" t="s">
        <v>33</v>
      </c>
      <c r="D971" s="17" t="s">
        <v>24</v>
      </c>
      <c r="E971" s="18">
        <v>27459</v>
      </c>
      <c r="F971" s="19">
        <v>48297091.175999902</v>
      </c>
      <c r="G971" s="17">
        <v>2.65</v>
      </c>
      <c r="H971" s="17">
        <v>73.66</v>
      </c>
      <c r="I971" s="17">
        <v>17.95</v>
      </c>
      <c r="J971" s="17">
        <v>186.37</v>
      </c>
      <c r="K971" s="17">
        <v>92.94</v>
      </c>
      <c r="L971" s="20" t="s">
        <v>21</v>
      </c>
    </row>
    <row r="972" spans="1:12" x14ac:dyDescent="0.25">
      <c r="A972" s="11">
        <v>2024</v>
      </c>
      <c r="B972" s="12" t="s">
        <v>37</v>
      </c>
      <c r="C972" s="12" t="s">
        <v>28</v>
      </c>
      <c r="D972" s="12" t="s">
        <v>24</v>
      </c>
      <c r="E972" s="13">
        <v>50336</v>
      </c>
      <c r="F972" s="14">
        <v>24239867.16</v>
      </c>
      <c r="G972" s="12">
        <v>4.0599999999999996</v>
      </c>
      <c r="H972" s="12">
        <v>44.48</v>
      </c>
      <c r="I972" s="12">
        <v>16.75</v>
      </c>
      <c r="J972" s="12">
        <v>205.63</v>
      </c>
      <c r="K972" s="12">
        <v>73.459999999999994</v>
      </c>
      <c r="L972" s="15" t="s">
        <v>19</v>
      </c>
    </row>
    <row r="973" spans="1:12" x14ac:dyDescent="0.25">
      <c r="A973" s="16">
        <v>2024</v>
      </c>
      <c r="B973" s="17" t="s">
        <v>35</v>
      </c>
      <c r="C973" s="17" t="s">
        <v>25</v>
      </c>
      <c r="D973" s="17" t="s">
        <v>24</v>
      </c>
      <c r="E973" s="18">
        <v>33515</v>
      </c>
      <c r="F973" s="19">
        <v>35787763.82</v>
      </c>
      <c r="G973" s="17">
        <v>4.3</v>
      </c>
      <c r="H973" s="17">
        <v>82.09</v>
      </c>
      <c r="I973" s="17">
        <v>44.83</v>
      </c>
      <c r="J973" s="17">
        <v>256.14</v>
      </c>
      <c r="K973" s="17">
        <v>51.86</v>
      </c>
      <c r="L973" s="20" t="s">
        <v>17</v>
      </c>
    </row>
    <row r="974" spans="1:12" x14ac:dyDescent="0.25">
      <c r="A974" s="11">
        <v>2024</v>
      </c>
      <c r="B974" s="12" t="s">
        <v>37</v>
      </c>
      <c r="C974" s="12" t="s">
        <v>23</v>
      </c>
      <c r="D974" s="12" t="s">
        <v>24</v>
      </c>
      <c r="E974" s="13">
        <v>25724</v>
      </c>
      <c r="F974" s="14">
        <v>57565236.579999998</v>
      </c>
      <c r="G974" s="12">
        <v>5.68</v>
      </c>
      <c r="H974" s="12">
        <v>69.979999999999905</v>
      </c>
      <c r="I974" s="12">
        <v>34.17</v>
      </c>
      <c r="J974" s="12">
        <v>231.5</v>
      </c>
      <c r="K974" s="12">
        <v>84.08</v>
      </c>
      <c r="L974" s="15" t="s">
        <v>17</v>
      </c>
    </row>
    <row r="975" spans="1:12" x14ac:dyDescent="0.25">
      <c r="A975" s="16">
        <v>2024</v>
      </c>
      <c r="B975" s="17" t="s">
        <v>35</v>
      </c>
      <c r="C975" s="17" t="s">
        <v>26</v>
      </c>
      <c r="D975" s="17" t="s">
        <v>24</v>
      </c>
      <c r="E975" s="18">
        <v>14587</v>
      </c>
      <c r="F975" s="19">
        <v>28041204.800000001</v>
      </c>
      <c r="G975" s="17">
        <v>2.85</v>
      </c>
      <c r="H975" s="17">
        <v>53.66</v>
      </c>
      <c r="I975" s="17">
        <v>51.8</v>
      </c>
      <c r="J975" s="17">
        <v>126.75</v>
      </c>
      <c r="K975" s="17">
        <v>94.43</v>
      </c>
      <c r="L975" s="20" t="s">
        <v>15</v>
      </c>
    </row>
    <row r="976" spans="1:12" x14ac:dyDescent="0.25">
      <c r="A976" s="11">
        <v>2024</v>
      </c>
      <c r="B976" s="12" t="s">
        <v>37</v>
      </c>
      <c r="C976" s="12" t="s">
        <v>29</v>
      </c>
      <c r="D976" s="12" t="s">
        <v>24</v>
      </c>
      <c r="E976" s="13">
        <v>35834</v>
      </c>
      <c r="F976" s="14">
        <v>8672653.0079999994</v>
      </c>
      <c r="G976" s="12">
        <v>3.47</v>
      </c>
      <c r="H976" s="12">
        <v>79.11</v>
      </c>
      <c r="I976" s="12">
        <v>20.48</v>
      </c>
      <c r="J976" s="12">
        <v>97.86</v>
      </c>
      <c r="K976" s="12">
        <v>49</v>
      </c>
      <c r="L976" s="15" t="s">
        <v>19</v>
      </c>
    </row>
    <row r="977" spans="1:12" x14ac:dyDescent="0.25">
      <c r="A977" s="16">
        <v>2024</v>
      </c>
      <c r="B977" s="17" t="s">
        <v>12</v>
      </c>
      <c r="C977" s="17" t="s">
        <v>30</v>
      </c>
      <c r="D977" s="17" t="s">
        <v>24</v>
      </c>
      <c r="E977" s="18">
        <v>43911</v>
      </c>
      <c r="F977" s="19">
        <v>45501962.543999903</v>
      </c>
      <c r="G977" s="17">
        <v>4.21</v>
      </c>
      <c r="H977" s="17">
        <v>45.54</v>
      </c>
      <c r="I977" s="17">
        <v>47.18</v>
      </c>
      <c r="J977" s="17">
        <v>293.87</v>
      </c>
      <c r="K977" s="17">
        <v>46.55</v>
      </c>
      <c r="L977" s="20" t="s">
        <v>27</v>
      </c>
    </row>
    <row r="978" spans="1:12" x14ac:dyDescent="0.25">
      <c r="A978" s="11">
        <v>2024</v>
      </c>
      <c r="B978" s="12" t="s">
        <v>36</v>
      </c>
      <c r="C978" s="12" t="s">
        <v>34</v>
      </c>
      <c r="D978" s="12" t="s">
        <v>24</v>
      </c>
      <c r="E978" s="13">
        <v>37683</v>
      </c>
      <c r="F978" s="14">
        <v>25975311.579999998</v>
      </c>
      <c r="G978" s="12">
        <v>6.15</v>
      </c>
      <c r="H978" s="12">
        <v>87.83</v>
      </c>
      <c r="I978" s="12">
        <v>29.56</v>
      </c>
      <c r="J978" s="12">
        <v>270.57</v>
      </c>
      <c r="K978" s="12">
        <v>63.33</v>
      </c>
      <c r="L978" s="15" t="s">
        <v>27</v>
      </c>
    </row>
    <row r="979" spans="1:12" x14ac:dyDescent="0.25">
      <c r="A979" s="16">
        <v>2024</v>
      </c>
      <c r="B979" s="17" t="s">
        <v>35</v>
      </c>
      <c r="C979" s="17" t="s">
        <v>25</v>
      </c>
      <c r="D979" s="17" t="s">
        <v>24</v>
      </c>
      <c r="E979" s="18">
        <v>33515</v>
      </c>
      <c r="F979" s="19">
        <v>35787763.82</v>
      </c>
      <c r="G979" s="17">
        <v>4.3</v>
      </c>
      <c r="H979" s="17">
        <v>82.09</v>
      </c>
      <c r="I979" s="17">
        <v>44.83</v>
      </c>
      <c r="J979" s="17">
        <v>256.14</v>
      </c>
      <c r="K979" s="17">
        <v>51.86</v>
      </c>
      <c r="L979" s="20" t="s">
        <v>17</v>
      </c>
    </row>
    <row r="980" spans="1:12" x14ac:dyDescent="0.25">
      <c r="A980" s="11">
        <v>2024</v>
      </c>
      <c r="B980" s="12" t="s">
        <v>37</v>
      </c>
      <c r="C980" s="12" t="s">
        <v>30</v>
      </c>
      <c r="D980" s="12" t="s">
        <v>24</v>
      </c>
      <c r="E980" s="13">
        <v>28368</v>
      </c>
      <c r="F980" s="14">
        <v>17639255.890000001</v>
      </c>
      <c r="G980" s="12">
        <v>5.79</v>
      </c>
      <c r="H980" s="12">
        <v>47.78</v>
      </c>
      <c r="I980" s="12">
        <v>35.700000000000003</v>
      </c>
      <c r="J980" s="12">
        <v>99.55</v>
      </c>
      <c r="K980" s="12">
        <v>92.85</v>
      </c>
      <c r="L980" s="15" t="s">
        <v>27</v>
      </c>
    </row>
    <row r="981" spans="1:12" x14ac:dyDescent="0.25">
      <c r="A981" s="16">
        <v>2024</v>
      </c>
      <c r="B981" s="17" t="s">
        <v>36</v>
      </c>
      <c r="C981" s="17" t="s">
        <v>16</v>
      </c>
      <c r="D981" s="17" t="s">
        <v>14</v>
      </c>
      <c r="E981" s="18">
        <v>40214</v>
      </c>
      <c r="F981" s="19">
        <v>41136987.82</v>
      </c>
      <c r="G981" s="17">
        <v>0.13999999999999899</v>
      </c>
      <c r="H981" s="17">
        <v>87.83</v>
      </c>
      <c r="I981" s="17">
        <v>40.29</v>
      </c>
      <c r="J981" s="17">
        <v>259.95</v>
      </c>
      <c r="K981" s="17">
        <v>42.51</v>
      </c>
      <c r="L981" s="20" t="s">
        <v>15</v>
      </c>
    </row>
    <row r="982" spans="1:12" x14ac:dyDescent="0.25">
      <c r="A982" s="11">
        <v>2024</v>
      </c>
      <c r="B982" s="12" t="s">
        <v>36</v>
      </c>
      <c r="C982" s="12" t="s">
        <v>13</v>
      </c>
      <c r="D982" s="12" t="s">
        <v>14</v>
      </c>
      <c r="E982" s="13">
        <v>32671</v>
      </c>
      <c r="F982" s="14">
        <v>47591496.990000002</v>
      </c>
      <c r="G982" s="12">
        <v>2.77</v>
      </c>
      <c r="H982" s="12">
        <v>27.94</v>
      </c>
      <c r="I982" s="12">
        <v>32.880000000000003</v>
      </c>
      <c r="J982" s="12">
        <v>71.209999999999994</v>
      </c>
      <c r="K982" s="12">
        <v>82.95</v>
      </c>
      <c r="L982" s="15" t="s">
        <v>15</v>
      </c>
    </row>
    <row r="983" spans="1:12" x14ac:dyDescent="0.25">
      <c r="A983" s="16">
        <v>2024</v>
      </c>
      <c r="B983" s="17" t="s">
        <v>36</v>
      </c>
      <c r="C983" s="17" t="s">
        <v>29</v>
      </c>
      <c r="D983" s="17" t="s">
        <v>24</v>
      </c>
      <c r="E983" s="18">
        <v>35291</v>
      </c>
      <c r="F983" s="19">
        <v>49226395.399999999</v>
      </c>
      <c r="G983" s="17">
        <v>6.75</v>
      </c>
      <c r="H983" s="17">
        <v>62.89</v>
      </c>
      <c r="I983" s="17">
        <v>24.49</v>
      </c>
      <c r="J983" s="17">
        <v>220.65</v>
      </c>
      <c r="K983" s="17">
        <v>89.72</v>
      </c>
      <c r="L983" s="20" t="s">
        <v>21</v>
      </c>
    </row>
    <row r="984" spans="1:12" x14ac:dyDescent="0.25">
      <c r="A984" s="11">
        <v>2024</v>
      </c>
      <c r="B984" s="12" t="s">
        <v>12</v>
      </c>
      <c r="C984" s="12" t="s">
        <v>31</v>
      </c>
      <c r="D984" s="12" t="s">
        <v>24</v>
      </c>
      <c r="E984" s="13">
        <v>6628</v>
      </c>
      <c r="F984" s="14">
        <v>36995468.590000004</v>
      </c>
      <c r="G984" s="12">
        <v>4.8099999999999996</v>
      </c>
      <c r="H984" s="12">
        <v>93.86</v>
      </c>
      <c r="I984" s="12">
        <v>26.43</v>
      </c>
      <c r="J984" s="12">
        <v>157.51</v>
      </c>
      <c r="K984" s="12">
        <v>45.53</v>
      </c>
      <c r="L984" s="15" t="s">
        <v>27</v>
      </c>
    </row>
    <row r="985" spans="1:12" x14ac:dyDescent="0.25">
      <c r="A985" s="16">
        <v>2024</v>
      </c>
      <c r="B985" s="17" t="s">
        <v>35</v>
      </c>
      <c r="C985" s="17" t="s">
        <v>31</v>
      </c>
      <c r="D985" s="17" t="s">
        <v>24</v>
      </c>
      <c r="E985" s="18">
        <v>33169</v>
      </c>
      <c r="F985" s="19">
        <v>35954900.030000001</v>
      </c>
      <c r="G985" s="17">
        <v>5.42</v>
      </c>
      <c r="H985" s="17">
        <v>53.54</v>
      </c>
      <c r="I985" s="17">
        <v>26.02</v>
      </c>
      <c r="J985" s="17">
        <v>294.86</v>
      </c>
      <c r="K985" s="17">
        <v>54.66</v>
      </c>
      <c r="L985" s="20" t="s">
        <v>27</v>
      </c>
    </row>
    <row r="986" spans="1:12" x14ac:dyDescent="0.25">
      <c r="A986" s="11">
        <v>2024</v>
      </c>
      <c r="B986" s="12" t="s">
        <v>12</v>
      </c>
      <c r="C986" s="12" t="s">
        <v>29</v>
      </c>
      <c r="D986" s="12" t="s">
        <v>24</v>
      </c>
      <c r="E986" s="13">
        <v>57073</v>
      </c>
      <c r="F986" s="14">
        <v>27851665.91</v>
      </c>
      <c r="G986" s="12">
        <v>2.61</v>
      </c>
      <c r="H986" s="12">
        <v>66.33</v>
      </c>
      <c r="I986" s="12">
        <v>8.11</v>
      </c>
      <c r="J986" s="12">
        <v>196.33</v>
      </c>
      <c r="K986" s="12">
        <v>89.62</v>
      </c>
      <c r="L986" s="15" t="s">
        <v>17</v>
      </c>
    </row>
    <row r="987" spans="1:12" x14ac:dyDescent="0.25">
      <c r="A987" s="16">
        <v>2024</v>
      </c>
      <c r="B987" s="17" t="s">
        <v>35</v>
      </c>
      <c r="C987" s="17" t="s">
        <v>32</v>
      </c>
      <c r="D987" s="17" t="s">
        <v>24</v>
      </c>
      <c r="E987" s="18">
        <v>7463</v>
      </c>
      <c r="F987" s="19">
        <v>54322194.789999999</v>
      </c>
      <c r="G987" s="17">
        <v>3.42</v>
      </c>
      <c r="H987" s="17">
        <v>84.33</v>
      </c>
      <c r="I987" s="17">
        <v>29.05</v>
      </c>
      <c r="J987" s="17">
        <v>82.85</v>
      </c>
      <c r="K987" s="17">
        <v>88.18</v>
      </c>
      <c r="L987" s="20" t="s">
        <v>21</v>
      </c>
    </row>
    <row r="988" spans="1:12" x14ac:dyDescent="0.25">
      <c r="A988" s="11">
        <v>2024</v>
      </c>
      <c r="B988" s="12" t="s">
        <v>37</v>
      </c>
      <c r="C988" s="12" t="s">
        <v>26</v>
      </c>
      <c r="D988" s="12" t="s">
        <v>24</v>
      </c>
      <c r="E988" s="13">
        <v>63966</v>
      </c>
      <c r="F988" s="14">
        <v>35148376</v>
      </c>
      <c r="G988" s="12">
        <v>3.86</v>
      </c>
      <c r="H988" s="12">
        <v>68.180000000000007</v>
      </c>
      <c r="I988" s="12">
        <v>37.299999999999997</v>
      </c>
      <c r="J988" s="12">
        <v>171.35</v>
      </c>
      <c r="K988" s="12">
        <v>81.11</v>
      </c>
      <c r="L988" s="15" t="s">
        <v>21</v>
      </c>
    </row>
    <row r="989" spans="1:12" x14ac:dyDescent="0.25">
      <c r="A989" s="16">
        <v>2024</v>
      </c>
      <c r="B989" s="17" t="s">
        <v>36</v>
      </c>
      <c r="C989" s="17" t="s">
        <v>34</v>
      </c>
      <c r="D989" s="17" t="s">
        <v>24</v>
      </c>
      <c r="E989" s="18">
        <v>37683</v>
      </c>
      <c r="F989" s="19">
        <v>25975311.579999998</v>
      </c>
      <c r="G989" s="17">
        <v>6.15</v>
      </c>
      <c r="H989" s="17">
        <v>87.83</v>
      </c>
      <c r="I989" s="17">
        <v>29.56</v>
      </c>
      <c r="J989" s="17">
        <v>270.57</v>
      </c>
      <c r="K989" s="17">
        <v>63.33</v>
      </c>
      <c r="L989" s="20" t="s">
        <v>27</v>
      </c>
    </row>
    <row r="990" spans="1:12" x14ac:dyDescent="0.25">
      <c r="A990" s="11">
        <v>2024</v>
      </c>
      <c r="B990" s="12" t="s">
        <v>12</v>
      </c>
      <c r="C990" s="12" t="s">
        <v>13</v>
      </c>
      <c r="D990" s="12" t="s">
        <v>14</v>
      </c>
      <c r="E990" s="13">
        <v>37131</v>
      </c>
      <c r="F990" s="14">
        <v>45587127.689999998</v>
      </c>
      <c r="G990" s="12">
        <v>0.59</v>
      </c>
      <c r="H990" s="12">
        <v>83.06</v>
      </c>
      <c r="I990" s="12">
        <v>0.33999999999999903</v>
      </c>
      <c r="J990" s="12">
        <v>274.2</v>
      </c>
      <c r="K990" s="12">
        <v>42.93</v>
      </c>
      <c r="L990" s="15" t="s">
        <v>21</v>
      </c>
    </row>
    <row r="991" spans="1:12" x14ac:dyDescent="0.25">
      <c r="A991" s="16">
        <v>2024</v>
      </c>
      <c r="B991" s="17" t="s">
        <v>37</v>
      </c>
      <c r="C991" s="17" t="s">
        <v>34</v>
      </c>
      <c r="D991" s="17" t="s">
        <v>24</v>
      </c>
      <c r="E991" s="18">
        <v>23576</v>
      </c>
      <c r="F991" s="19">
        <v>7378715.04</v>
      </c>
      <c r="G991" s="17">
        <v>4.9400000000000004</v>
      </c>
      <c r="H991" s="17">
        <v>92.65</v>
      </c>
      <c r="I991" s="17">
        <v>27.65</v>
      </c>
      <c r="J991" s="17">
        <v>261.8</v>
      </c>
      <c r="K991" s="17">
        <v>75.180000000000007</v>
      </c>
      <c r="L991" s="20" t="s">
        <v>15</v>
      </c>
    </row>
    <row r="992" spans="1:12" x14ac:dyDescent="0.25">
      <c r="A992" s="11">
        <v>2024</v>
      </c>
      <c r="B992" s="12" t="s">
        <v>37</v>
      </c>
      <c r="C992" s="12" t="s">
        <v>20</v>
      </c>
      <c r="D992" s="12" t="s">
        <v>14</v>
      </c>
      <c r="E992" s="13">
        <v>42266</v>
      </c>
      <c r="F992" s="14">
        <v>23557754.829999998</v>
      </c>
      <c r="G992" s="12">
        <v>0.34</v>
      </c>
      <c r="H992" s="12">
        <v>86.28</v>
      </c>
      <c r="I992" s="12">
        <v>26.49</v>
      </c>
      <c r="J992" s="12">
        <v>294.81</v>
      </c>
      <c r="K992" s="12">
        <v>51.79</v>
      </c>
      <c r="L992" s="15" t="s">
        <v>17</v>
      </c>
    </row>
    <row r="993" spans="1:12" x14ac:dyDescent="0.25">
      <c r="A993" s="16">
        <v>2024</v>
      </c>
      <c r="B993" s="17" t="s">
        <v>37</v>
      </c>
      <c r="C993" s="17" t="s">
        <v>13</v>
      </c>
      <c r="D993" s="17" t="s">
        <v>14</v>
      </c>
      <c r="E993" s="18">
        <v>9805</v>
      </c>
      <c r="F993" s="19">
        <v>4494602.4929999998</v>
      </c>
      <c r="G993" s="17">
        <v>0.27</v>
      </c>
      <c r="H993" s="17">
        <v>59.49</v>
      </c>
      <c r="I993" s="17">
        <v>16.98</v>
      </c>
      <c r="J993" s="17">
        <v>203.22</v>
      </c>
      <c r="K993" s="17">
        <v>57.32</v>
      </c>
      <c r="L993" s="20" t="s">
        <v>19</v>
      </c>
    </row>
    <row r="994" spans="1:12" x14ac:dyDescent="0.25">
      <c r="A994" s="11">
        <v>2024</v>
      </c>
      <c r="B994" s="12" t="s">
        <v>12</v>
      </c>
      <c r="C994" s="12" t="s">
        <v>18</v>
      </c>
      <c r="D994" s="12" t="s">
        <v>14</v>
      </c>
      <c r="E994" s="13">
        <v>32783</v>
      </c>
      <c r="F994" s="14">
        <v>24954402.68</v>
      </c>
      <c r="G994" s="12">
        <v>-0.12</v>
      </c>
      <c r="H994" s="12">
        <v>68.38</v>
      </c>
      <c r="I994" s="12">
        <v>18.52</v>
      </c>
      <c r="J994" s="12">
        <v>165.62</v>
      </c>
      <c r="K994" s="12">
        <v>84.08</v>
      </c>
      <c r="L994" s="15" t="s">
        <v>15</v>
      </c>
    </row>
    <row r="995" spans="1:12" x14ac:dyDescent="0.25">
      <c r="A995" s="16">
        <v>2024</v>
      </c>
      <c r="B995" s="17" t="s">
        <v>12</v>
      </c>
      <c r="C995" s="17" t="s">
        <v>30</v>
      </c>
      <c r="D995" s="17" t="s">
        <v>24</v>
      </c>
      <c r="E995" s="18">
        <v>43911</v>
      </c>
      <c r="F995" s="19">
        <v>45501962.543999903</v>
      </c>
      <c r="G995" s="17">
        <v>4.21</v>
      </c>
      <c r="H995" s="17">
        <v>45.54</v>
      </c>
      <c r="I995" s="17">
        <v>47.18</v>
      </c>
      <c r="J995" s="17">
        <v>293.87</v>
      </c>
      <c r="K995" s="17">
        <v>46.55</v>
      </c>
      <c r="L995" s="20" t="s">
        <v>27</v>
      </c>
    </row>
    <row r="996" spans="1:12" x14ac:dyDescent="0.25">
      <c r="A996" s="11">
        <v>2024</v>
      </c>
      <c r="B996" s="12" t="s">
        <v>12</v>
      </c>
      <c r="C996" s="12" t="s">
        <v>29</v>
      </c>
      <c r="D996" s="12" t="s">
        <v>24</v>
      </c>
      <c r="E996" s="13">
        <v>57073</v>
      </c>
      <c r="F996" s="14">
        <v>27851665.91</v>
      </c>
      <c r="G996" s="12">
        <v>2.61</v>
      </c>
      <c r="H996" s="12">
        <v>66.33</v>
      </c>
      <c r="I996" s="12">
        <v>8.11</v>
      </c>
      <c r="J996" s="12">
        <v>196.33</v>
      </c>
      <c r="K996" s="12">
        <v>89.62</v>
      </c>
      <c r="L996" s="15" t="s">
        <v>17</v>
      </c>
    </row>
    <row r="997" spans="1:12" x14ac:dyDescent="0.25">
      <c r="A997" s="16">
        <v>2024</v>
      </c>
      <c r="B997" s="17" t="s">
        <v>37</v>
      </c>
      <c r="C997" s="17" t="s">
        <v>22</v>
      </c>
      <c r="D997" s="17" t="s">
        <v>14</v>
      </c>
      <c r="E997" s="18">
        <v>28852</v>
      </c>
      <c r="F997" s="19">
        <v>14365866.470000001</v>
      </c>
      <c r="G997" s="17">
        <v>0.22999999999999901</v>
      </c>
      <c r="H997" s="17">
        <v>46.1</v>
      </c>
      <c r="I997" s="17">
        <v>3.47</v>
      </c>
      <c r="J997" s="17">
        <v>194.32</v>
      </c>
      <c r="K997" s="17">
        <v>86.51</v>
      </c>
      <c r="L997" s="20" t="s">
        <v>19</v>
      </c>
    </row>
    <row r="998" spans="1:12" x14ac:dyDescent="0.25">
      <c r="A998" s="11">
        <v>2024</v>
      </c>
      <c r="B998" s="12" t="s">
        <v>35</v>
      </c>
      <c r="C998" s="12" t="s">
        <v>13</v>
      </c>
      <c r="D998" s="12" t="s">
        <v>14</v>
      </c>
      <c r="E998" s="13">
        <v>26237</v>
      </c>
      <c r="F998" s="14">
        <v>30930455.537999999</v>
      </c>
      <c r="G998" s="12">
        <v>2.72</v>
      </c>
      <c r="H998" s="12">
        <v>30.37</v>
      </c>
      <c r="I998" s="12">
        <v>43.72</v>
      </c>
      <c r="J998" s="12">
        <v>205.74</v>
      </c>
      <c r="K998" s="12">
        <v>48.09</v>
      </c>
      <c r="L998" s="15" t="s">
        <v>19</v>
      </c>
    </row>
    <row r="999" spans="1:12" x14ac:dyDescent="0.25">
      <c r="A999" s="16">
        <v>2024</v>
      </c>
      <c r="B999" s="17" t="s">
        <v>12</v>
      </c>
      <c r="C999" s="17" t="s">
        <v>25</v>
      </c>
      <c r="D999" s="17" t="s">
        <v>24</v>
      </c>
      <c r="E999" s="18">
        <v>31220</v>
      </c>
      <c r="F999" s="19">
        <v>36722606.380000003</v>
      </c>
      <c r="G999" s="17">
        <v>6.53</v>
      </c>
      <c r="H999" s="17">
        <v>40.51</v>
      </c>
      <c r="I999" s="17">
        <v>32.239999999999903</v>
      </c>
      <c r="J999" s="17">
        <v>130.35</v>
      </c>
      <c r="K999" s="17">
        <v>80.87</v>
      </c>
      <c r="L999" s="20" t="s">
        <v>17</v>
      </c>
    </row>
    <row r="1000" spans="1:12" x14ac:dyDescent="0.25">
      <c r="A1000" s="11">
        <v>2024</v>
      </c>
      <c r="B1000" s="12" t="s">
        <v>36</v>
      </c>
      <c r="C1000" s="12" t="s">
        <v>33</v>
      </c>
      <c r="D1000" s="12" t="s">
        <v>24</v>
      </c>
      <c r="E1000" s="13">
        <v>15763</v>
      </c>
      <c r="F1000" s="14">
        <v>7376208.852</v>
      </c>
      <c r="G1000" s="12">
        <v>5.89</v>
      </c>
      <c r="H1000" s="12">
        <v>74.459999999999994</v>
      </c>
      <c r="I1000" s="12">
        <v>50.36</v>
      </c>
      <c r="J1000" s="12">
        <v>173.23</v>
      </c>
      <c r="K1000" s="12">
        <v>52.39</v>
      </c>
      <c r="L1000" s="15" t="s">
        <v>21</v>
      </c>
    </row>
    <row r="1001" spans="1:12" x14ac:dyDescent="0.25">
      <c r="A1001" s="3">
        <v>2024</v>
      </c>
      <c r="B1001" s="4" t="s">
        <v>36</v>
      </c>
      <c r="C1001" s="4" t="s">
        <v>23</v>
      </c>
      <c r="D1001" s="4" t="s">
        <v>24</v>
      </c>
      <c r="E1001" s="21">
        <v>27969</v>
      </c>
      <c r="F1001" s="22">
        <v>70164647.829999998</v>
      </c>
      <c r="G1001" s="4">
        <v>2.62</v>
      </c>
      <c r="H1001" s="4">
        <v>46.76</v>
      </c>
      <c r="I1001" s="4">
        <v>43.61</v>
      </c>
      <c r="J1001" s="4">
        <v>103.25</v>
      </c>
      <c r="K1001" s="4">
        <v>63.21</v>
      </c>
      <c r="L1001" s="5" t="s">
        <v>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EB031-19CE-4B07-B516-61C34B434831}">
  <dimension ref="A1:L1001"/>
  <sheetViews>
    <sheetView workbookViewId="0">
      <selection activeCell="M1" sqref="M1"/>
    </sheetView>
  </sheetViews>
  <sheetFormatPr defaultRowHeight="13.8" x14ac:dyDescent="0.25"/>
  <cols>
    <col min="1" max="1" width="6.5" customWidth="1"/>
    <col min="2" max="2" width="9.296875" customWidth="1"/>
    <col min="3" max="3" width="15.3984375" customWidth="1"/>
    <col min="4" max="4" width="13.796875" customWidth="1"/>
    <col min="5" max="5" width="11.296875" customWidth="1"/>
    <col min="6" max="6" width="15" style="25" customWidth="1"/>
    <col min="7" max="7" width="17.3984375" style="31" customWidth="1"/>
    <col min="8" max="8" width="24.296875" style="31" customWidth="1"/>
    <col min="9" max="9" width="23.296875" customWidth="1"/>
    <col min="10" max="10" width="20.8984375" customWidth="1"/>
    <col min="11" max="11" width="20.69921875" style="28" customWidth="1"/>
    <col min="12" max="12" width="17.59765625" customWidth="1"/>
  </cols>
  <sheetData>
    <row r="1" spans="1:12" x14ac:dyDescent="0.25">
      <c r="A1" s="32" t="s">
        <v>0</v>
      </c>
      <c r="B1" s="32" t="s">
        <v>1</v>
      </c>
      <c r="C1" s="32" t="s">
        <v>2</v>
      </c>
      <c r="D1" s="32" t="s">
        <v>3</v>
      </c>
      <c r="E1" s="33" t="s">
        <v>4</v>
      </c>
      <c r="F1" s="34" t="s">
        <v>5</v>
      </c>
      <c r="G1" s="35" t="s">
        <v>6</v>
      </c>
      <c r="H1" s="35" t="s">
        <v>7</v>
      </c>
      <c r="I1" s="32" t="s">
        <v>8</v>
      </c>
      <c r="J1" s="32" t="s">
        <v>9</v>
      </c>
      <c r="K1" s="36" t="s">
        <v>10</v>
      </c>
      <c r="L1" s="32" t="s">
        <v>11</v>
      </c>
    </row>
    <row r="2" spans="1:12" x14ac:dyDescent="0.25">
      <c r="A2" s="12">
        <v>2019</v>
      </c>
      <c r="B2" s="12" t="s">
        <v>12</v>
      </c>
      <c r="C2" s="12" t="s">
        <v>13</v>
      </c>
      <c r="D2" s="12" t="s">
        <v>14</v>
      </c>
      <c r="E2" s="13">
        <v>26396</v>
      </c>
      <c r="F2" s="23">
        <v>4212951.0480000004</v>
      </c>
      <c r="G2" s="29">
        <v>1.04</v>
      </c>
      <c r="H2" s="29">
        <v>57.36</v>
      </c>
      <c r="I2" s="12">
        <v>39.549999999999997</v>
      </c>
      <c r="J2" s="12">
        <v>293.10000000000002</v>
      </c>
      <c r="K2" s="26">
        <v>55.87</v>
      </c>
      <c r="L2" s="12" t="s">
        <v>15</v>
      </c>
    </row>
    <row r="3" spans="1:12" x14ac:dyDescent="0.25">
      <c r="A3" s="17">
        <v>2019</v>
      </c>
      <c r="B3" s="17" t="s">
        <v>12</v>
      </c>
      <c r="C3" s="17" t="s">
        <v>16</v>
      </c>
      <c r="D3" s="17" t="s">
        <v>14</v>
      </c>
      <c r="E3" s="18">
        <v>25671</v>
      </c>
      <c r="F3" s="24">
        <v>7240265.60399999</v>
      </c>
      <c r="G3" s="30">
        <v>2.82</v>
      </c>
      <c r="H3" s="30">
        <v>85.8</v>
      </c>
      <c r="I3" s="17">
        <v>42.58</v>
      </c>
      <c r="J3" s="17">
        <v>67.459999999999994</v>
      </c>
      <c r="K3" s="27">
        <v>37.26</v>
      </c>
      <c r="L3" s="17" t="s">
        <v>17</v>
      </c>
    </row>
    <row r="4" spans="1:12" x14ac:dyDescent="0.25">
      <c r="A4" s="12">
        <v>2019</v>
      </c>
      <c r="B4" s="12" t="s">
        <v>12</v>
      </c>
      <c r="C4" s="12" t="s">
        <v>18</v>
      </c>
      <c r="D4" s="12" t="s">
        <v>14</v>
      </c>
      <c r="E4" s="13">
        <v>16573</v>
      </c>
      <c r="F4" s="23">
        <v>25608331.510000002</v>
      </c>
      <c r="G4" s="29">
        <v>-0.03</v>
      </c>
      <c r="H4" s="29">
        <v>47.02</v>
      </c>
      <c r="I4" s="12">
        <v>3.78</v>
      </c>
      <c r="J4" s="12">
        <v>77.25</v>
      </c>
      <c r="K4" s="26">
        <v>84.66</v>
      </c>
      <c r="L4" s="12" t="s">
        <v>19</v>
      </c>
    </row>
    <row r="5" spans="1:12" x14ac:dyDescent="0.25">
      <c r="A5" s="17">
        <v>2019</v>
      </c>
      <c r="B5" s="17" t="s">
        <v>12</v>
      </c>
      <c r="C5" s="17" t="s">
        <v>20</v>
      </c>
      <c r="D5" s="17" t="s">
        <v>14</v>
      </c>
      <c r="E5" s="18">
        <v>7177</v>
      </c>
      <c r="F5" s="24">
        <v>21984415.829999998</v>
      </c>
      <c r="G5" s="30">
        <v>0.84</v>
      </c>
      <c r="H5" s="30">
        <v>25.7</v>
      </c>
      <c r="I5" s="17">
        <v>23.41</v>
      </c>
      <c r="J5" s="17">
        <v>105.27</v>
      </c>
      <c r="K5" s="27">
        <v>40.03</v>
      </c>
      <c r="L5" s="17" t="s">
        <v>21</v>
      </c>
    </row>
    <row r="6" spans="1:12" x14ac:dyDescent="0.25">
      <c r="A6" s="12">
        <v>2019</v>
      </c>
      <c r="B6" s="12" t="s">
        <v>12</v>
      </c>
      <c r="C6" s="12" t="s">
        <v>22</v>
      </c>
      <c r="D6" s="12" t="s">
        <v>14</v>
      </c>
      <c r="E6" s="13">
        <v>45633</v>
      </c>
      <c r="F6" s="23">
        <v>16342437.5</v>
      </c>
      <c r="G6" s="29">
        <v>2.36</v>
      </c>
      <c r="H6" s="29">
        <v>89.13</v>
      </c>
      <c r="I6" s="12">
        <v>44.43</v>
      </c>
      <c r="J6" s="12">
        <v>206.17</v>
      </c>
      <c r="K6" s="26">
        <v>76.88</v>
      </c>
      <c r="L6" s="12" t="s">
        <v>17</v>
      </c>
    </row>
    <row r="7" spans="1:12" x14ac:dyDescent="0.25">
      <c r="A7" s="17">
        <v>2019</v>
      </c>
      <c r="B7" s="17" t="s">
        <v>12</v>
      </c>
      <c r="C7" s="17" t="s">
        <v>23</v>
      </c>
      <c r="D7" s="17" t="s">
        <v>24</v>
      </c>
      <c r="E7" s="18">
        <v>15912</v>
      </c>
      <c r="F7" s="24">
        <v>17178326.899999999</v>
      </c>
      <c r="G7" s="30">
        <v>5.41</v>
      </c>
      <c r="H7" s="30">
        <v>59.12</v>
      </c>
      <c r="I7" s="17">
        <v>12.14</v>
      </c>
      <c r="J7" s="17">
        <v>179.15</v>
      </c>
      <c r="K7" s="27">
        <v>80.790000000000006</v>
      </c>
      <c r="L7" s="17" t="s">
        <v>19</v>
      </c>
    </row>
    <row r="8" spans="1:12" x14ac:dyDescent="0.25">
      <c r="A8" s="12">
        <v>2019</v>
      </c>
      <c r="B8" s="12" t="s">
        <v>12</v>
      </c>
      <c r="C8" s="12" t="s">
        <v>25</v>
      </c>
      <c r="D8" s="12" t="s">
        <v>24</v>
      </c>
      <c r="E8" s="13">
        <v>7231</v>
      </c>
      <c r="F8" s="23">
        <v>48639810.189999998</v>
      </c>
      <c r="G8" s="29">
        <v>5.9</v>
      </c>
      <c r="H8" s="29">
        <v>52.94</v>
      </c>
      <c r="I8" s="12">
        <v>44.36</v>
      </c>
      <c r="J8" s="12">
        <v>259.16000000000003</v>
      </c>
      <c r="K8" s="26">
        <v>77.55</v>
      </c>
      <c r="L8" s="12" t="s">
        <v>17</v>
      </c>
    </row>
    <row r="9" spans="1:12" x14ac:dyDescent="0.25">
      <c r="A9" s="17">
        <v>2019</v>
      </c>
      <c r="B9" s="17" t="s">
        <v>12</v>
      </c>
      <c r="C9" s="17" t="s">
        <v>26</v>
      </c>
      <c r="D9" s="17" t="s">
        <v>24</v>
      </c>
      <c r="E9" s="18">
        <v>58711</v>
      </c>
      <c r="F9" s="24">
        <v>70175779.069999993</v>
      </c>
      <c r="G9" s="30">
        <v>4.92</v>
      </c>
      <c r="H9" s="30">
        <v>79.95</v>
      </c>
      <c r="I9" s="17">
        <v>49.7</v>
      </c>
      <c r="J9" s="17">
        <v>191.42</v>
      </c>
      <c r="K9" s="27">
        <v>74.83</v>
      </c>
      <c r="L9" s="17" t="s">
        <v>27</v>
      </c>
    </row>
    <row r="10" spans="1:12" x14ac:dyDescent="0.25">
      <c r="A10" s="12">
        <v>2019</v>
      </c>
      <c r="B10" s="12" t="s">
        <v>12</v>
      </c>
      <c r="C10" s="12" t="s">
        <v>28</v>
      </c>
      <c r="D10" s="12" t="s">
        <v>24</v>
      </c>
      <c r="E10" s="13">
        <v>40641</v>
      </c>
      <c r="F10" s="23">
        <v>51959555.759999998</v>
      </c>
      <c r="G10" s="29">
        <v>2.64</v>
      </c>
      <c r="H10" s="29">
        <v>44.77</v>
      </c>
      <c r="I10" s="12">
        <v>31.27</v>
      </c>
      <c r="J10" s="12">
        <v>151.18</v>
      </c>
      <c r="K10" s="26">
        <v>66.509999999999906</v>
      </c>
      <c r="L10" s="12" t="s">
        <v>21</v>
      </c>
    </row>
    <row r="11" spans="1:12" x14ac:dyDescent="0.25">
      <c r="A11" s="17">
        <v>2019</v>
      </c>
      <c r="B11" s="17" t="s">
        <v>12</v>
      </c>
      <c r="C11" s="17" t="s">
        <v>29</v>
      </c>
      <c r="D11" s="17" t="s">
        <v>24</v>
      </c>
      <c r="E11" s="18">
        <v>38119</v>
      </c>
      <c r="F11" s="24">
        <v>49899540.799999997</v>
      </c>
      <c r="G11" s="30">
        <v>6.84</v>
      </c>
      <c r="H11" s="30">
        <v>51.21</v>
      </c>
      <c r="I11" s="17">
        <v>38.33</v>
      </c>
      <c r="J11" s="17">
        <v>284.33</v>
      </c>
      <c r="K11" s="27">
        <v>87.01</v>
      </c>
      <c r="L11" s="17" t="s">
        <v>17</v>
      </c>
    </row>
    <row r="12" spans="1:12" x14ac:dyDescent="0.25">
      <c r="A12" s="12">
        <v>2019</v>
      </c>
      <c r="B12" s="12" t="s">
        <v>12</v>
      </c>
      <c r="C12" s="12" t="s">
        <v>30</v>
      </c>
      <c r="D12" s="12" t="s">
        <v>24</v>
      </c>
      <c r="E12" s="13">
        <v>36255</v>
      </c>
      <c r="F12" s="23">
        <v>12091673.939999999</v>
      </c>
      <c r="G12" s="29">
        <v>4.66</v>
      </c>
      <c r="H12" s="29">
        <v>56.5</v>
      </c>
      <c r="I12" s="12">
        <v>9.77</v>
      </c>
      <c r="J12" s="12">
        <v>81.430000000000007</v>
      </c>
      <c r="K12" s="26">
        <v>85.88</v>
      </c>
      <c r="L12" s="12" t="s">
        <v>19</v>
      </c>
    </row>
    <row r="13" spans="1:12" x14ac:dyDescent="0.25">
      <c r="A13" s="17">
        <v>2019</v>
      </c>
      <c r="B13" s="17" t="s">
        <v>12</v>
      </c>
      <c r="C13" s="17" t="s">
        <v>31</v>
      </c>
      <c r="D13" s="17" t="s">
        <v>24</v>
      </c>
      <c r="E13" s="18">
        <v>19643</v>
      </c>
      <c r="F13" s="24">
        <v>36029498.520000003</v>
      </c>
      <c r="G13" s="30">
        <v>5.67</v>
      </c>
      <c r="H13" s="30">
        <v>76.62</v>
      </c>
      <c r="I13" s="17">
        <v>22.84</v>
      </c>
      <c r="J13" s="17">
        <v>220.82</v>
      </c>
      <c r="K13" s="27">
        <v>88.16</v>
      </c>
      <c r="L13" s="17" t="s">
        <v>15</v>
      </c>
    </row>
    <row r="14" spans="1:12" x14ac:dyDescent="0.25">
      <c r="A14" s="12">
        <v>2019</v>
      </c>
      <c r="B14" s="12" t="s">
        <v>12</v>
      </c>
      <c r="C14" s="12" t="s">
        <v>32</v>
      </c>
      <c r="D14" s="12" t="s">
        <v>24</v>
      </c>
      <c r="E14" s="13">
        <v>12612</v>
      </c>
      <c r="F14" s="23">
        <v>57161551.82</v>
      </c>
      <c r="G14" s="29">
        <v>3.24</v>
      </c>
      <c r="H14" s="29">
        <v>64.479999999999905</v>
      </c>
      <c r="I14" s="12">
        <v>14.98</v>
      </c>
      <c r="J14" s="12">
        <v>161.49</v>
      </c>
      <c r="K14" s="26">
        <v>85.67</v>
      </c>
      <c r="L14" s="12" t="s">
        <v>19</v>
      </c>
    </row>
    <row r="15" spans="1:12" x14ac:dyDescent="0.25">
      <c r="A15" s="17">
        <v>2019</v>
      </c>
      <c r="B15" s="17" t="s">
        <v>12</v>
      </c>
      <c r="C15" s="17" t="s">
        <v>33</v>
      </c>
      <c r="D15" s="17" t="s">
        <v>24</v>
      </c>
      <c r="E15" s="18">
        <v>22722</v>
      </c>
      <c r="F15" s="24">
        <v>45310946.807999998</v>
      </c>
      <c r="G15" s="30">
        <v>2.88</v>
      </c>
      <c r="H15" s="30">
        <v>87.12</v>
      </c>
      <c r="I15" s="17">
        <v>19.04</v>
      </c>
      <c r="J15" s="17">
        <v>233.87</v>
      </c>
      <c r="K15" s="27">
        <v>45.66</v>
      </c>
      <c r="L15" s="17" t="s">
        <v>27</v>
      </c>
    </row>
    <row r="16" spans="1:12" x14ac:dyDescent="0.25">
      <c r="A16" s="12">
        <v>2019</v>
      </c>
      <c r="B16" s="12" t="s">
        <v>12</v>
      </c>
      <c r="C16" s="12" t="s">
        <v>34</v>
      </c>
      <c r="D16" s="12" t="s">
        <v>24</v>
      </c>
      <c r="E16" s="13">
        <v>8453</v>
      </c>
      <c r="F16" s="23">
        <v>46937282.289999999</v>
      </c>
      <c r="G16" s="29">
        <v>3.48</v>
      </c>
      <c r="H16" s="29">
        <v>72.729999999999905</v>
      </c>
      <c r="I16" s="12">
        <v>23.32</v>
      </c>
      <c r="J16" s="12">
        <v>130.87</v>
      </c>
      <c r="K16" s="26">
        <v>53.81</v>
      </c>
      <c r="L16" s="12" t="s">
        <v>17</v>
      </c>
    </row>
    <row r="17" spans="1:12" x14ac:dyDescent="0.25">
      <c r="A17" s="17">
        <v>2019</v>
      </c>
      <c r="B17" s="17" t="s">
        <v>35</v>
      </c>
      <c r="C17" s="17" t="s">
        <v>13</v>
      </c>
      <c r="D17" s="17" t="s">
        <v>14</v>
      </c>
      <c r="E17" s="18">
        <v>19160</v>
      </c>
      <c r="F17" s="24">
        <v>6660064.7999999998</v>
      </c>
      <c r="G17" s="30">
        <v>1.56</v>
      </c>
      <c r="H17" s="30">
        <v>67.69</v>
      </c>
      <c r="I17" s="17">
        <v>14.6</v>
      </c>
      <c r="J17" s="17">
        <v>156.93</v>
      </c>
      <c r="K17" s="27">
        <v>64.040000000000006</v>
      </c>
      <c r="L17" s="17" t="s">
        <v>19</v>
      </c>
    </row>
    <row r="18" spans="1:12" x14ac:dyDescent="0.25">
      <c r="A18" s="12">
        <v>2019</v>
      </c>
      <c r="B18" s="12" t="s">
        <v>35</v>
      </c>
      <c r="C18" s="12" t="s">
        <v>16</v>
      </c>
      <c r="D18" s="12" t="s">
        <v>14</v>
      </c>
      <c r="E18" s="13">
        <v>38253</v>
      </c>
      <c r="F18" s="23">
        <v>53195937.002999999</v>
      </c>
      <c r="G18" s="29">
        <v>-0.05</v>
      </c>
      <c r="H18" s="29">
        <v>76.73</v>
      </c>
      <c r="I18" s="12">
        <v>31.96</v>
      </c>
      <c r="J18" s="12">
        <v>273.85000000000002</v>
      </c>
      <c r="K18" s="26">
        <v>38.28</v>
      </c>
      <c r="L18" s="12" t="s">
        <v>19</v>
      </c>
    </row>
    <row r="19" spans="1:12" x14ac:dyDescent="0.25">
      <c r="A19" s="17">
        <v>2019</v>
      </c>
      <c r="B19" s="17" t="s">
        <v>35</v>
      </c>
      <c r="C19" s="17" t="s">
        <v>18</v>
      </c>
      <c r="D19" s="17" t="s">
        <v>14</v>
      </c>
      <c r="E19" s="18">
        <v>17404</v>
      </c>
      <c r="F19" s="24">
        <v>14950208.85</v>
      </c>
      <c r="G19" s="30">
        <v>2.5099999999999998</v>
      </c>
      <c r="H19" s="30">
        <v>38.86</v>
      </c>
      <c r="I19" s="17">
        <v>36.380000000000003</v>
      </c>
      <c r="J19" s="17">
        <v>105.21</v>
      </c>
      <c r="K19" s="27">
        <v>67.78</v>
      </c>
      <c r="L19" s="17" t="s">
        <v>19</v>
      </c>
    </row>
    <row r="20" spans="1:12" x14ac:dyDescent="0.25">
      <c r="A20" s="12">
        <v>2019</v>
      </c>
      <c r="B20" s="12" t="s">
        <v>35</v>
      </c>
      <c r="C20" s="12" t="s">
        <v>20</v>
      </c>
      <c r="D20" s="12" t="s">
        <v>14</v>
      </c>
      <c r="E20" s="13">
        <v>27841</v>
      </c>
      <c r="F20" s="23">
        <v>9787426.5150000006</v>
      </c>
      <c r="G20" s="29">
        <v>3.96</v>
      </c>
      <c r="H20" s="29">
        <v>75.22</v>
      </c>
      <c r="I20" s="12">
        <v>46.41</v>
      </c>
      <c r="J20" s="12">
        <v>283.25</v>
      </c>
      <c r="K20" s="26">
        <v>44.96</v>
      </c>
      <c r="L20" s="12" t="s">
        <v>19</v>
      </c>
    </row>
    <row r="21" spans="1:12" x14ac:dyDescent="0.25">
      <c r="A21" s="17">
        <v>2019</v>
      </c>
      <c r="B21" s="17" t="s">
        <v>35</v>
      </c>
      <c r="C21" s="17" t="s">
        <v>22</v>
      </c>
      <c r="D21" s="17" t="s">
        <v>14</v>
      </c>
      <c r="E21" s="18">
        <v>10047</v>
      </c>
      <c r="F21" s="24">
        <v>10691516.9</v>
      </c>
      <c r="G21" s="30">
        <v>1.56</v>
      </c>
      <c r="H21" s="30">
        <v>45.75</v>
      </c>
      <c r="I21" s="17">
        <v>15.36</v>
      </c>
      <c r="J21" s="17">
        <v>112.81</v>
      </c>
      <c r="K21" s="27">
        <v>85.33</v>
      </c>
      <c r="L21" s="17" t="s">
        <v>19</v>
      </c>
    </row>
    <row r="22" spans="1:12" x14ac:dyDescent="0.25">
      <c r="A22" s="12">
        <v>2019</v>
      </c>
      <c r="B22" s="12" t="s">
        <v>35</v>
      </c>
      <c r="C22" s="12" t="s">
        <v>23</v>
      </c>
      <c r="D22" s="12" t="s">
        <v>24</v>
      </c>
      <c r="E22" s="13">
        <v>25054</v>
      </c>
      <c r="F22" s="23">
        <v>40495943.740000002</v>
      </c>
      <c r="G22" s="29">
        <v>4.6399999999999997</v>
      </c>
      <c r="H22" s="29">
        <v>67.39</v>
      </c>
      <c r="I22" s="12">
        <v>21.03</v>
      </c>
      <c r="J22" s="12">
        <v>212.78</v>
      </c>
      <c r="K22" s="26">
        <v>63.69</v>
      </c>
      <c r="L22" s="12" t="s">
        <v>27</v>
      </c>
    </row>
    <row r="23" spans="1:12" x14ac:dyDescent="0.25">
      <c r="A23" s="17">
        <v>2019</v>
      </c>
      <c r="B23" s="17" t="s">
        <v>35</v>
      </c>
      <c r="C23" s="17" t="s">
        <v>25</v>
      </c>
      <c r="D23" s="17" t="s">
        <v>24</v>
      </c>
      <c r="E23" s="18">
        <v>37263</v>
      </c>
      <c r="F23" s="24">
        <v>29763310.309999999</v>
      </c>
      <c r="G23" s="30">
        <v>2.76</v>
      </c>
      <c r="H23" s="30">
        <v>55.56</v>
      </c>
      <c r="I23" s="17">
        <v>16.03</v>
      </c>
      <c r="J23" s="17">
        <v>263.32</v>
      </c>
      <c r="K23" s="27">
        <v>64.63</v>
      </c>
      <c r="L23" s="17" t="s">
        <v>15</v>
      </c>
    </row>
    <row r="24" spans="1:12" x14ac:dyDescent="0.25">
      <c r="A24" s="12">
        <v>2019</v>
      </c>
      <c r="B24" s="12" t="s">
        <v>35</v>
      </c>
      <c r="C24" s="12" t="s">
        <v>26</v>
      </c>
      <c r="D24" s="12" t="s">
        <v>24</v>
      </c>
      <c r="E24" s="13">
        <v>39191</v>
      </c>
      <c r="F24" s="23">
        <v>19631909.34</v>
      </c>
      <c r="G24" s="29">
        <v>3.35</v>
      </c>
      <c r="H24" s="29">
        <v>100.83</v>
      </c>
      <c r="I24" s="12">
        <v>49.18</v>
      </c>
      <c r="J24" s="12">
        <v>59.84</v>
      </c>
      <c r="K24" s="26">
        <v>53.2</v>
      </c>
      <c r="L24" s="12" t="s">
        <v>21</v>
      </c>
    </row>
    <row r="25" spans="1:12" x14ac:dyDescent="0.25">
      <c r="A25" s="17">
        <v>2019</v>
      </c>
      <c r="B25" s="17" t="s">
        <v>35</v>
      </c>
      <c r="C25" s="17" t="s">
        <v>28</v>
      </c>
      <c r="D25" s="17" t="s">
        <v>24</v>
      </c>
      <c r="E25" s="18">
        <v>11320</v>
      </c>
      <c r="F25" s="24">
        <v>36678245.920000002</v>
      </c>
      <c r="G25" s="30">
        <v>5.99</v>
      </c>
      <c r="H25" s="30">
        <v>50.12</v>
      </c>
      <c r="I25" s="17">
        <v>43.18</v>
      </c>
      <c r="J25" s="17">
        <v>251.51</v>
      </c>
      <c r="K25" s="27">
        <v>88.81</v>
      </c>
      <c r="L25" s="17" t="s">
        <v>21</v>
      </c>
    </row>
    <row r="26" spans="1:12" x14ac:dyDescent="0.25">
      <c r="A26" s="12">
        <v>2019</v>
      </c>
      <c r="B26" s="12" t="s">
        <v>35</v>
      </c>
      <c r="C26" s="12" t="s">
        <v>29</v>
      </c>
      <c r="D26" s="12" t="s">
        <v>24</v>
      </c>
      <c r="E26" s="13">
        <v>31105</v>
      </c>
      <c r="F26" s="23">
        <v>12818738.02</v>
      </c>
      <c r="G26" s="29">
        <v>4.7699999999999996</v>
      </c>
      <c r="H26" s="29">
        <v>93.04</v>
      </c>
      <c r="I26" s="12">
        <v>20.52</v>
      </c>
      <c r="J26" s="12">
        <v>110.55</v>
      </c>
      <c r="K26" s="26">
        <v>73.069999999999993</v>
      </c>
      <c r="L26" s="12" t="s">
        <v>21</v>
      </c>
    </row>
    <row r="27" spans="1:12" x14ac:dyDescent="0.25">
      <c r="A27" s="17">
        <v>2019</v>
      </c>
      <c r="B27" s="17" t="s">
        <v>35</v>
      </c>
      <c r="C27" s="17" t="s">
        <v>30</v>
      </c>
      <c r="D27" s="17" t="s">
        <v>24</v>
      </c>
      <c r="E27" s="18">
        <v>24185</v>
      </c>
      <c r="F27" s="24">
        <v>52192972.549999997</v>
      </c>
      <c r="G27" s="30">
        <v>2.95</v>
      </c>
      <c r="H27" s="30">
        <v>40.549999999999997</v>
      </c>
      <c r="I27" s="17">
        <v>46.73</v>
      </c>
      <c r="J27" s="17">
        <v>200.47</v>
      </c>
      <c r="K27" s="27">
        <v>83.06</v>
      </c>
      <c r="L27" s="17" t="s">
        <v>19</v>
      </c>
    </row>
    <row r="28" spans="1:12" x14ac:dyDescent="0.25">
      <c r="A28" s="12">
        <v>2019</v>
      </c>
      <c r="B28" s="12" t="s">
        <v>35</v>
      </c>
      <c r="C28" s="12" t="s">
        <v>31</v>
      </c>
      <c r="D28" s="12" t="s">
        <v>24</v>
      </c>
      <c r="E28" s="13">
        <v>8422</v>
      </c>
      <c r="F28" s="23">
        <v>11292488.050000001</v>
      </c>
      <c r="G28" s="29">
        <v>6</v>
      </c>
      <c r="H28" s="29">
        <v>55.76</v>
      </c>
      <c r="I28" s="12">
        <v>30.55</v>
      </c>
      <c r="J28" s="12">
        <v>170.31</v>
      </c>
      <c r="K28" s="26">
        <v>78.44</v>
      </c>
      <c r="L28" s="12" t="s">
        <v>17</v>
      </c>
    </row>
    <row r="29" spans="1:12" x14ac:dyDescent="0.25">
      <c r="A29" s="17">
        <v>2019</v>
      </c>
      <c r="B29" s="17" t="s">
        <v>35</v>
      </c>
      <c r="C29" s="17" t="s">
        <v>32</v>
      </c>
      <c r="D29" s="17" t="s">
        <v>24</v>
      </c>
      <c r="E29" s="18">
        <v>56397</v>
      </c>
      <c r="F29" s="24">
        <v>18390883.850000001</v>
      </c>
      <c r="G29" s="30">
        <v>6.11</v>
      </c>
      <c r="H29" s="30">
        <v>70.959999999999994</v>
      </c>
      <c r="I29" s="17">
        <v>23.8</v>
      </c>
      <c r="J29" s="17">
        <v>167.75</v>
      </c>
      <c r="K29" s="27">
        <v>55.21</v>
      </c>
      <c r="L29" s="17" t="s">
        <v>21</v>
      </c>
    </row>
    <row r="30" spans="1:12" x14ac:dyDescent="0.25">
      <c r="A30" s="12">
        <v>2019</v>
      </c>
      <c r="B30" s="12" t="s">
        <v>35</v>
      </c>
      <c r="C30" s="12" t="s">
        <v>33</v>
      </c>
      <c r="D30" s="12" t="s">
        <v>24</v>
      </c>
      <c r="E30" s="13">
        <v>36613</v>
      </c>
      <c r="F30" s="23">
        <v>63070767.789999999</v>
      </c>
      <c r="G30" s="29">
        <v>3.25</v>
      </c>
      <c r="H30" s="29">
        <v>83.96</v>
      </c>
      <c r="I30" s="12">
        <v>13.22</v>
      </c>
      <c r="J30" s="12">
        <v>280.73</v>
      </c>
      <c r="K30" s="26">
        <v>75.510000000000005</v>
      </c>
      <c r="L30" s="12" t="s">
        <v>21</v>
      </c>
    </row>
    <row r="31" spans="1:12" x14ac:dyDescent="0.25">
      <c r="A31" s="17">
        <v>2019</v>
      </c>
      <c r="B31" s="17" t="s">
        <v>35</v>
      </c>
      <c r="C31" s="17" t="s">
        <v>34</v>
      </c>
      <c r="D31" s="17" t="s">
        <v>24</v>
      </c>
      <c r="E31" s="18">
        <v>12030</v>
      </c>
      <c r="F31" s="24">
        <v>33549565.920000002</v>
      </c>
      <c r="G31" s="30">
        <v>5.82</v>
      </c>
      <c r="H31" s="30">
        <v>48.62</v>
      </c>
      <c r="I31" s="17">
        <v>36.32</v>
      </c>
      <c r="J31" s="17">
        <v>227.63</v>
      </c>
      <c r="K31" s="27">
        <v>91.79</v>
      </c>
      <c r="L31" s="17" t="s">
        <v>17</v>
      </c>
    </row>
    <row r="32" spans="1:12" x14ac:dyDescent="0.25">
      <c r="A32" s="12">
        <v>2019</v>
      </c>
      <c r="B32" s="12" t="s">
        <v>36</v>
      </c>
      <c r="C32" s="12" t="s">
        <v>13</v>
      </c>
      <c r="D32" s="12" t="s">
        <v>14</v>
      </c>
      <c r="E32" s="13">
        <v>27112</v>
      </c>
      <c r="F32" s="23">
        <v>27051337.739999998</v>
      </c>
      <c r="G32" s="29">
        <v>3.78</v>
      </c>
      <c r="H32" s="29">
        <v>61.35</v>
      </c>
      <c r="I32" s="12">
        <v>47.48</v>
      </c>
      <c r="J32" s="12">
        <v>152</v>
      </c>
      <c r="K32" s="26">
        <v>50.23</v>
      </c>
      <c r="L32" s="12" t="s">
        <v>21</v>
      </c>
    </row>
    <row r="33" spans="1:12" x14ac:dyDescent="0.25">
      <c r="A33" s="17">
        <v>2019</v>
      </c>
      <c r="B33" s="17" t="s">
        <v>36</v>
      </c>
      <c r="C33" s="17" t="s">
        <v>16</v>
      </c>
      <c r="D33" s="17" t="s">
        <v>14</v>
      </c>
      <c r="E33" s="18">
        <v>28788</v>
      </c>
      <c r="F33" s="24">
        <v>10130230.560000001</v>
      </c>
      <c r="G33" s="30">
        <v>1.38</v>
      </c>
      <c r="H33" s="30">
        <v>25.88</v>
      </c>
      <c r="I33" s="17">
        <v>6.92</v>
      </c>
      <c r="J33" s="17">
        <v>129.04</v>
      </c>
      <c r="K33" s="27">
        <v>46.41</v>
      </c>
      <c r="L33" s="17" t="s">
        <v>19</v>
      </c>
    </row>
    <row r="34" spans="1:12" x14ac:dyDescent="0.25">
      <c r="A34" s="12">
        <v>2019</v>
      </c>
      <c r="B34" s="12" t="s">
        <v>36</v>
      </c>
      <c r="C34" s="12" t="s">
        <v>18</v>
      </c>
      <c r="D34" s="12" t="s">
        <v>14</v>
      </c>
      <c r="E34" s="13">
        <v>29329</v>
      </c>
      <c r="F34" s="23">
        <v>11066723.119999999</v>
      </c>
      <c r="G34" s="29">
        <v>1.23</v>
      </c>
      <c r="H34" s="29">
        <v>57.98</v>
      </c>
      <c r="I34" s="12">
        <v>32.340000000000003</v>
      </c>
      <c r="J34" s="12">
        <v>132.81</v>
      </c>
      <c r="K34" s="26">
        <v>77.31</v>
      </c>
      <c r="L34" s="12" t="s">
        <v>15</v>
      </c>
    </row>
    <row r="35" spans="1:12" x14ac:dyDescent="0.25">
      <c r="A35" s="17">
        <v>2019</v>
      </c>
      <c r="B35" s="17" t="s">
        <v>36</v>
      </c>
      <c r="C35" s="17" t="s">
        <v>20</v>
      </c>
      <c r="D35" s="17" t="s">
        <v>14</v>
      </c>
      <c r="E35" s="18">
        <v>12535</v>
      </c>
      <c r="F35" s="24">
        <v>28466176.109999999</v>
      </c>
      <c r="G35" s="30">
        <v>2.09</v>
      </c>
      <c r="H35" s="30">
        <v>55.61</v>
      </c>
      <c r="I35" s="17">
        <v>31.12</v>
      </c>
      <c r="J35" s="17">
        <v>111.28</v>
      </c>
      <c r="K35" s="27">
        <v>47.14</v>
      </c>
      <c r="L35" s="17" t="s">
        <v>17</v>
      </c>
    </row>
    <row r="36" spans="1:12" x14ac:dyDescent="0.25">
      <c r="A36" s="12">
        <v>2019</v>
      </c>
      <c r="B36" s="12" t="s">
        <v>36</v>
      </c>
      <c r="C36" s="12" t="s">
        <v>22</v>
      </c>
      <c r="D36" s="12" t="s">
        <v>14</v>
      </c>
      <c r="E36" s="13">
        <v>20683</v>
      </c>
      <c r="F36" s="23">
        <v>15828498.960000001</v>
      </c>
      <c r="G36" s="29">
        <v>0.34</v>
      </c>
      <c r="H36" s="29">
        <v>30.32</v>
      </c>
      <c r="I36" s="12">
        <v>-0.65</v>
      </c>
      <c r="J36" s="12">
        <v>239.67</v>
      </c>
      <c r="K36" s="26">
        <v>46.13</v>
      </c>
      <c r="L36" s="12" t="s">
        <v>27</v>
      </c>
    </row>
    <row r="37" spans="1:12" x14ac:dyDescent="0.25">
      <c r="A37" s="17">
        <v>2019</v>
      </c>
      <c r="B37" s="17" t="s">
        <v>36</v>
      </c>
      <c r="C37" s="17" t="s">
        <v>23</v>
      </c>
      <c r="D37" s="17" t="s">
        <v>24</v>
      </c>
      <c r="E37" s="18">
        <v>57404</v>
      </c>
      <c r="F37" s="24">
        <v>22248956.960000001</v>
      </c>
      <c r="G37" s="30">
        <v>6.12</v>
      </c>
      <c r="H37" s="30">
        <v>83.5</v>
      </c>
      <c r="I37" s="17">
        <v>46.57</v>
      </c>
      <c r="J37" s="17">
        <v>211.08</v>
      </c>
      <c r="K37" s="27">
        <v>58.89</v>
      </c>
      <c r="L37" s="17" t="s">
        <v>27</v>
      </c>
    </row>
    <row r="38" spans="1:12" x14ac:dyDescent="0.25">
      <c r="A38" s="12">
        <v>2019</v>
      </c>
      <c r="B38" s="12" t="s">
        <v>36</v>
      </c>
      <c r="C38" s="12" t="s">
        <v>25</v>
      </c>
      <c r="D38" s="12" t="s">
        <v>24</v>
      </c>
      <c r="E38" s="13">
        <v>56869</v>
      </c>
      <c r="F38" s="23">
        <v>78970161.311999902</v>
      </c>
      <c r="G38" s="29">
        <v>6.12</v>
      </c>
      <c r="H38" s="29">
        <v>102.54</v>
      </c>
      <c r="I38" s="12">
        <v>21.09</v>
      </c>
      <c r="J38" s="12">
        <v>83.18</v>
      </c>
      <c r="K38" s="26">
        <v>94.7</v>
      </c>
      <c r="L38" s="12" t="s">
        <v>17</v>
      </c>
    </row>
    <row r="39" spans="1:12" x14ac:dyDescent="0.25">
      <c r="A39" s="17">
        <v>2019</v>
      </c>
      <c r="B39" s="17" t="s">
        <v>36</v>
      </c>
      <c r="C39" s="17" t="s">
        <v>26</v>
      </c>
      <c r="D39" s="17" t="s">
        <v>24</v>
      </c>
      <c r="E39" s="18">
        <v>6542</v>
      </c>
      <c r="F39" s="24">
        <v>13222480.68</v>
      </c>
      <c r="G39" s="30">
        <v>3.5</v>
      </c>
      <c r="H39" s="30">
        <v>88.84</v>
      </c>
      <c r="I39" s="17">
        <v>26.74</v>
      </c>
      <c r="J39" s="17">
        <v>115.63</v>
      </c>
      <c r="K39" s="27">
        <v>54.75</v>
      </c>
      <c r="L39" s="17" t="s">
        <v>15</v>
      </c>
    </row>
    <row r="40" spans="1:12" x14ac:dyDescent="0.25">
      <c r="A40" s="12">
        <v>2019</v>
      </c>
      <c r="B40" s="12" t="s">
        <v>36</v>
      </c>
      <c r="C40" s="12" t="s">
        <v>28</v>
      </c>
      <c r="D40" s="12" t="s">
        <v>24</v>
      </c>
      <c r="E40" s="13">
        <v>57951</v>
      </c>
      <c r="F40" s="23">
        <v>41600297.390000001</v>
      </c>
      <c r="G40" s="29">
        <v>2.72</v>
      </c>
      <c r="H40" s="29">
        <v>55.58</v>
      </c>
      <c r="I40" s="12">
        <v>17.57</v>
      </c>
      <c r="J40" s="12">
        <v>184.77</v>
      </c>
      <c r="K40" s="26">
        <v>67.900000000000006</v>
      </c>
      <c r="L40" s="12" t="s">
        <v>15</v>
      </c>
    </row>
    <row r="41" spans="1:12" x14ac:dyDescent="0.25">
      <c r="A41" s="17">
        <v>2019</v>
      </c>
      <c r="B41" s="17" t="s">
        <v>36</v>
      </c>
      <c r="C41" s="17" t="s">
        <v>29</v>
      </c>
      <c r="D41" s="17" t="s">
        <v>24</v>
      </c>
      <c r="E41" s="18">
        <v>25004</v>
      </c>
      <c r="F41" s="24">
        <v>28940719.489999998</v>
      </c>
      <c r="G41" s="30">
        <v>6.33</v>
      </c>
      <c r="H41" s="30">
        <v>45.56</v>
      </c>
      <c r="I41" s="17">
        <v>44.29</v>
      </c>
      <c r="J41" s="17">
        <v>124.19</v>
      </c>
      <c r="K41" s="27">
        <v>54.15</v>
      </c>
      <c r="L41" s="17" t="s">
        <v>27</v>
      </c>
    </row>
    <row r="42" spans="1:12" x14ac:dyDescent="0.25">
      <c r="A42" s="12">
        <v>2019</v>
      </c>
      <c r="B42" s="12" t="s">
        <v>36</v>
      </c>
      <c r="C42" s="12" t="s">
        <v>30</v>
      </c>
      <c r="D42" s="12" t="s">
        <v>24</v>
      </c>
      <c r="E42" s="13">
        <v>15756</v>
      </c>
      <c r="F42" s="23">
        <v>19796585.920000002</v>
      </c>
      <c r="G42" s="29">
        <v>3.58</v>
      </c>
      <c r="H42" s="29">
        <v>76.64</v>
      </c>
      <c r="I42" s="12">
        <v>36.22</v>
      </c>
      <c r="J42" s="12">
        <v>206.39</v>
      </c>
      <c r="K42" s="26">
        <v>88.16</v>
      </c>
      <c r="L42" s="12" t="s">
        <v>19</v>
      </c>
    </row>
    <row r="43" spans="1:12" x14ac:dyDescent="0.25">
      <c r="A43" s="17">
        <v>2019</v>
      </c>
      <c r="B43" s="17" t="s">
        <v>36</v>
      </c>
      <c r="C43" s="17" t="s">
        <v>31</v>
      </c>
      <c r="D43" s="17" t="s">
        <v>24</v>
      </c>
      <c r="E43" s="18">
        <v>56418</v>
      </c>
      <c r="F43" s="24">
        <v>53656997.799999997</v>
      </c>
      <c r="G43" s="30">
        <v>6.91</v>
      </c>
      <c r="H43" s="30">
        <v>54.03</v>
      </c>
      <c r="I43" s="17">
        <v>24.27</v>
      </c>
      <c r="J43" s="17">
        <v>61.49</v>
      </c>
      <c r="K43" s="27">
        <v>87.97</v>
      </c>
      <c r="L43" s="17" t="s">
        <v>19</v>
      </c>
    </row>
    <row r="44" spans="1:12" x14ac:dyDescent="0.25">
      <c r="A44" s="12">
        <v>2019</v>
      </c>
      <c r="B44" s="12" t="s">
        <v>36</v>
      </c>
      <c r="C44" s="12" t="s">
        <v>32</v>
      </c>
      <c r="D44" s="12" t="s">
        <v>24</v>
      </c>
      <c r="E44" s="13">
        <v>30819</v>
      </c>
      <c r="F44" s="23">
        <v>60274563.340000004</v>
      </c>
      <c r="G44" s="29">
        <v>3.44</v>
      </c>
      <c r="H44" s="29">
        <v>41.17</v>
      </c>
      <c r="I44" s="12">
        <v>26.42</v>
      </c>
      <c r="J44" s="12">
        <v>199.68</v>
      </c>
      <c r="K44" s="26">
        <v>61.6</v>
      </c>
      <c r="L44" s="12" t="s">
        <v>21</v>
      </c>
    </row>
    <row r="45" spans="1:12" x14ac:dyDescent="0.25">
      <c r="A45" s="17">
        <v>2019</v>
      </c>
      <c r="B45" s="17" t="s">
        <v>36</v>
      </c>
      <c r="C45" s="17" t="s">
        <v>33</v>
      </c>
      <c r="D45" s="17" t="s">
        <v>24</v>
      </c>
      <c r="E45" s="18">
        <v>18284</v>
      </c>
      <c r="F45" s="24">
        <v>26788292.559999999</v>
      </c>
      <c r="G45" s="30">
        <v>6.45</v>
      </c>
      <c r="H45" s="30">
        <v>80</v>
      </c>
      <c r="I45" s="17">
        <v>23.63</v>
      </c>
      <c r="J45" s="17">
        <v>137.72999999999999</v>
      </c>
      <c r="K45" s="27">
        <v>81.319999999999993</v>
      </c>
      <c r="L45" s="17" t="s">
        <v>17</v>
      </c>
    </row>
    <row r="46" spans="1:12" x14ac:dyDescent="0.25">
      <c r="A46" s="12">
        <v>2019</v>
      </c>
      <c r="B46" s="12" t="s">
        <v>36</v>
      </c>
      <c r="C46" s="12" t="s">
        <v>34</v>
      </c>
      <c r="D46" s="12" t="s">
        <v>24</v>
      </c>
      <c r="E46" s="13">
        <v>48617</v>
      </c>
      <c r="F46" s="23">
        <v>6134803.4639999997</v>
      </c>
      <c r="G46" s="29">
        <v>6.48</v>
      </c>
      <c r="H46" s="29">
        <v>91.79</v>
      </c>
      <c r="I46" s="12">
        <v>54.94</v>
      </c>
      <c r="J46" s="12">
        <v>88.28</v>
      </c>
      <c r="K46" s="26">
        <v>82.55</v>
      </c>
      <c r="L46" s="12" t="s">
        <v>17</v>
      </c>
    </row>
    <row r="47" spans="1:12" x14ac:dyDescent="0.25">
      <c r="A47" s="17">
        <v>2019</v>
      </c>
      <c r="B47" s="17" t="s">
        <v>37</v>
      </c>
      <c r="C47" s="17" t="s">
        <v>13</v>
      </c>
      <c r="D47" s="17" t="s">
        <v>14</v>
      </c>
      <c r="E47" s="18">
        <v>30040</v>
      </c>
      <c r="F47" s="24">
        <v>34166065.189999998</v>
      </c>
      <c r="G47" s="30">
        <v>1.5699999999999901</v>
      </c>
      <c r="H47" s="30">
        <v>28.49</v>
      </c>
      <c r="I47" s="17">
        <v>47.01</v>
      </c>
      <c r="J47" s="17">
        <v>243.47</v>
      </c>
      <c r="K47" s="27">
        <v>58.24</v>
      </c>
      <c r="L47" s="17" t="s">
        <v>21</v>
      </c>
    </row>
    <row r="48" spans="1:12" x14ac:dyDescent="0.25">
      <c r="A48" s="12">
        <v>2019</v>
      </c>
      <c r="B48" s="12" t="s">
        <v>37</v>
      </c>
      <c r="C48" s="12" t="s">
        <v>16</v>
      </c>
      <c r="D48" s="12" t="s">
        <v>14</v>
      </c>
      <c r="E48" s="13">
        <v>40978</v>
      </c>
      <c r="F48" s="23">
        <v>52202051.460000001</v>
      </c>
      <c r="G48" s="29">
        <v>0.34</v>
      </c>
      <c r="H48" s="29">
        <v>39.979999999999997</v>
      </c>
      <c r="I48" s="12">
        <v>44.96</v>
      </c>
      <c r="J48" s="12">
        <v>130.25</v>
      </c>
      <c r="K48" s="26">
        <v>45.44</v>
      </c>
      <c r="L48" s="12" t="s">
        <v>27</v>
      </c>
    </row>
    <row r="49" spans="1:12" x14ac:dyDescent="0.25">
      <c r="A49" s="17">
        <v>2019</v>
      </c>
      <c r="B49" s="17" t="s">
        <v>37</v>
      </c>
      <c r="C49" s="17" t="s">
        <v>18</v>
      </c>
      <c r="D49" s="17" t="s">
        <v>14</v>
      </c>
      <c r="E49" s="18">
        <v>46113</v>
      </c>
      <c r="F49" s="24">
        <v>23485210.48</v>
      </c>
      <c r="G49" s="30">
        <v>1.89</v>
      </c>
      <c r="H49" s="30">
        <v>69.900000000000006</v>
      </c>
      <c r="I49" s="17">
        <v>13.34</v>
      </c>
      <c r="J49" s="17">
        <v>167.31</v>
      </c>
      <c r="K49" s="27">
        <v>45.48</v>
      </c>
      <c r="L49" s="17" t="s">
        <v>27</v>
      </c>
    </row>
    <row r="50" spans="1:12" x14ac:dyDescent="0.25">
      <c r="A50" s="12">
        <v>2019</v>
      </c>
      <c r="B50" s="12" t="s">
        <v>37</v>
      </c>
      <c r="C50" s="12" t="s">
        <v>20</v>
      </c>
      <c r="D50" s="12" t="s">
        <v>14</v>
      </c>
      <c r="E50" s="13">
        <v>8438</v>
      </c>
      <c r="F50" s="23">
        <v>35324703.520000003</v>
      </c>
      <c r="G50" s="29">
        <v>2.29</v>
      </c>
      <c r="H50" s="29">
        <v>80.900000000000006</v>
      </c>
      <c r="I50" s="12">
        <v>10.53</v>
      </c>
      <c r="J50" s="12">
        <v>80.150000000000006</v>
      </c>
      <c r="K50" s="26">
        <v>75.72</v>
      </c>
      <c r="L50" s="12" t="s">
        <v>19</v>
      </c>
    </row>
    <row r="51" spans="1:12" x14ac:dyDescent="0.25">
      <c r="A51" s="17">
        <v>2019</v>
      </c>
      <c r="B51" s="17" t="s">
        <v>37</v>
      </c>
      <c r="C51" s="17" t="s">
        <v>22</v>
      </c>
      <c r="D51" s="17" t="s">
        <v>14</v>
      </c>
      <c r="E51" s="18">
        <v>23500</v>
      </c>
      <c r="F51" s="24">
        <v>33337345.93</v>
      </c>
      <c r="G51" s="30">
        <v>3.74</v>
      </c>
      <c r="H51" s="30">
        <v>33.06</v>
      </c>
      <c r="I51" s="17">
        <v>18.7</v>
      </c>
      <c r="J51" s="17">
        <v>73.31</v>
      </c>
      <c r="K51" s="27">
        <v>70.739999999999995</v>
      </c>
      <c r="L51" s="17" t="s">
        <v>27</v>
      </c>
    </row>
    <row r="52" spans="1:12" x14ac:dyDescent="0.25">
      <c r="A52" s="12">
        <v>2019</v>
      </c>
      <c r="B52" s="12" t="s">
        <v>37</v>
      </c>
      <c r="C52" s="12" t="s">
        <v>23</v>
      </c>
      <c r="D52" s="12" t="s">
        <v>24</v>
      </c>
      <c r="E52" s="13">
        <v>40164</v>
      </c>
      <c r="F52" s="23">
        <v>21739755.84</v>
      </c>
      <c r="G52" s="29">
        <v>3.76</v>
      </c>
      <c r="H52" s="29">
        <v>50.13</v>
      </c>
      <c r="I52" s="12">
        <v>13.99</v>
      </c>
      <c r="J52" s="12">
        <v>210.05</v>
      </c>
      <c r="K52" s="26">
        <v>58.83</v>
      </c>
      <c r="L52" s="12" t="s">
        <v>17</v>
      </c>
    </row>
    <row r="53" spans="1:12" x14ac:dyDescent="0.25">
      <c r="A53" s="17">
        <v>2019</v>
      </c>
      <c r="B53" s="17" t="s">
        <v>37</v>
      </c>
      <c r="C53" s="17" t="s">
        <v>25</v>
      </c>
      <c r="D53" s="17" t="s">
        <v>24</v>
      </c>
      <c r="E53" s="18">
        <v>53367</v>
      </c>
      <c r="F53" s="24">
        <v>69827344.420000002</v>
      </c>
      <c r="G53" s="30">
        <v>6.1</v>
      </c>
      <c r="H53" s="30">
        <v>95.93</v>
      </c>
      <c r="I53" s="17">
        <v>47.57</v>
      </c>
      <c r="J53" s="17">
        <v>185.7</v>
      </c>
      <c r="K53" s="27">
        <v>93.45</v>
      </c>
      <c r="L53" s="17" t="s">
        <v>21</v>
      </c>
    </row>
    <row r="54" spans="1:12" x14ac:dyDescent="0.25">
      <c r="A54" s="12">
        <v>2019</v>
      </c>
      <c r="B54" s="12" t="s">
        <v>37</v>
      </c>
      <c r="C54" s="12" t="s">
        <v>26</v>
      </c>
      <c r="D54" s="12" t="s">
        <v>24</v>
      </c>
      <c r="E54" s="13">
        <v>37612</v>
      </c>
      <c r="F54" s="23">
        <v>34802846.640000001</v>
      </c>
      <c r="G54" s="29">
        <v>2.5299999999999998</v>
      </c>
      <c r="H54" s="29">
        <v>66.459999999999994</v>
      </c>
      <c r="I54" s="12">
        <v>24.02</v>
      </c>
      <c r="J54" s="12">
        <v>120.07</v>
      </c>
      <c r="K54" s="26">
        <v>87.24</v>
      </c>
      <c r="L54" s="12" t="s">
        <v>19</v>
      </c>
    </row>
    <row r="55" spans="1:12" x14ac:dyDescent="0.25">
      <c r="A55" s="17">
        <v>2019</v>
      </c>
      <c r="B55" s="17" t="s">
        <v>37</v>
      </c>
      <c r="C55" s="17" t="s">
        <v>28</v>
      </c>
      <c r="D55" s="17" t="s">
        <v>24</v>
      </c>
      <c r="E55" s="18">
        <v>31445</v>
      </c>
      <c r="F55" s="24">
        <v>62662104.5</v>
      </c>
      <c r="G55" s="30">
        <v>4.8599999999999897</v>
      </c>
      <c r="H55" s="30">
        <v>61.44</v>
      </c>
      <c r="I55" s="17">
        <v>27.46</v>
      </c>
      <c r="J55" s="17">
        <v>183.03</v>
      </c>
      <c r="K55" s="27">
        <v>72.209999999999994</v>
      </c>
      <c r="L55" s="17" t="s">
        <v>15</v>
      </c>
    </row>
    <row r="56" spans="1:12" x14ac:dyDescent="0.25">
      <c r="A56" s="12">
        <v>2019</v>
      </c>
      <c r="B56" s="12" t="s">
        <v>37</v>
      </c>
      <c r="C56" s="12" t="s">
        <v>29</v>
      </c>
      <c r="D56" s="12" t="s">
        <v>24</v>
      </c>
      <c r="E56" s="13">
        <v>34541</v>
      </c>
      <c r="F56" s="23">
        <v>23308775.82</v>
      </c>
      <c r="G56" s="29">
        <v>4.0299999999999896</v>
      </c>
      <c r="H56" s="29">
        <v>59.35</v>
      </c>
      <c r="I56" s="12">
        <v>8.3699999999999992</v>
      </c>
      <c r="J56" s="12">
        <v>138.66999999999999</v>
      </c>
      <c r="K56" s="26">
        <v>80.349999999999994</v>
      </c>
      <c r="L56" s="12" t="s">
        <v>17</v>
      </c>
    </row>
    <row r="57" spans="1:12" x14ac:dyDescent="0.25">
      <c r="A57" s="17">
        <v>2019</v>
      </c>
      <c r="B57" s="17" t="s">
        <v>37</v>
      </c>
      <c r="C57" s="17" t="s">
        <v>30</v>
      </c>
      <c r="D57" s="17" t="s">
        <v>24</v>
      </c>
      <c r="E57" s="18">
        <v>6719</v>
      </c>
      <c r="F57" s="24">
        <v>38311286.359999999</v>
      </c>
      <c r="G57" s="30">
        <v>5.38</v>
      </c>
      <c r="H57" s="30">
        <v>42.55</v>
      </c>
      <c r="I57" s="17">
        <v>50.32</v>
      </c>
      <c r="J57" s="17">
        <v>110.97</v>
      </c>
      <c r="K57" s="27">
        <v>87.8</v>
      </c>
      <c r="L57" s="17" t="s">
        <v>15</v>
      </c>
    </row>
    <row r="58" spans="1:12" x14ac:dyDescent="0.25">
      <c r="A58" s="12">
        <v>2019</v>
      </c>
      <c r="B58" s="12" t="s">
        <v>37</v>
      </c>
      <c r="C58" s="12" t="s">
        <v>31</v>
      </c>
      <c r="D58" s="12" t="s">
        <v>24</v>
      </c>
      <c r="E58" s="13">
        <v>32919</v>
      </c>
      <c r="F58" s="23">
        <v>38143238.390000001</v>
      </c>
      <c r="G58" s="29">
        <v>6.62</v>
      </c>
      <c r="H58" s="29">
        <v>79.48</v>
      </c>
      <c r="I58" s="12">
        <v>45.85</v>
      </c>
      <c r="J58" s="12">
        <v>295.62</v>
      </c>
      <c r="K58" s="26">
        <v>58.71</v>
      </c>
      <c r="L58" s="12" t="s">
        <v>21</v>
      </c>
    </row>
    <row r="59" spans="1:12" x14ac:dyDescent="0.25">
      <c r="A59" s="17">
        <v>2019</v>
      </c>
      <c r="B59" s="17" t="s">
        <v>37</v>
      </c>
      <c r="C59" s="17" t="s">
        <v>32</v>
      </c>
      <c r="D59" s="17" t="s">
        <v>24</v>
      </c>
      <c r="E59" s="18">
        <v>46371</v>
      </c>
      <c r="F59" s="24">
        <v>71988709.969999999</v>
      </c>
      <c r="G59" s="30">
        <v>3.21</v>
      </c>
      <c r="H59" s="30">
        <v>88.89</v>
      </c>
      <c r="I59" s="17">
        <v>48.87</v>
      </c>
      <c r="J59" s="17">
        <v>265.70999999999998</v>
      </c>
      <c r="K59" s="27">
        <v>90.81</v>
      </c>
      <c r="L59" s="17" t="s">
        <v>27</v>
      </c>
    </row>
    <row r="60" spans="1:12" x14ac:dyDescent="0.25">
      <c r="A60" s="12">
        <v>2019</v>
      </c>
      <c r="B60" s="12" t="s">
        <v>37</v>
      </c>
      <c r="C60" s="12" t="s">
        <v>33</v>
      </c>
      <c r="D60" s="12" t="s">
        <v>24</v>
      </c>
      <c r="E60" s="13">
        <v>40084</v>
      </c>
      <c r="F60" s="23">
        <v>17163852.827999901</v>
      </c>
      <c r="G60" s="29">
        <v>6.33</v>
      </c>
      <c r="H60" s="29">
        <v>42.8</v>
      </c>
      <c r="I60" s="12">
        <v>48.55</v>
      </c>
      <c r="J60" s="12">
        <v>156.88</v>
      </c>
      <c r="K60" s="26">
        <v>53.55</v>
      </c>
      <c r="L60" s="12" t="s">
        <v>15</v>
      </c>
    </row>
    <row r="61" spans="1:12" x14ac:dyDescent="0.25">
      <c r="A61" s="17">
        <v>2019</v>
      </c>
      <c r="B61" s="17" t="s">
        <v>37</v>
      </c>
      <c r="C61" s="17" t="s">
        <v>34</v>
      </c>
      <c r="D61" s="17" t="s">
        <v>24</v>
      </c>
      <c r="E61" s="18">
        <v>20192</v>
      </c>
      <c r="F61" s="24">
        <v>14639182.699999999</v>
      </c>
      <c r="G61" s="30">
        <v>4.6099999999999897</v>
      </c>
      <c r="H61" s="30">
        <v>48.26</v>
      </c>
      <c r="I61" s="17">
        <v>50.86</v>
      </c>
      <c r="J61" s="17">
        <v>195.2</v>
      </c>
      <c r="K61" s="27">
        <v>60.91</v>
      </c>
      <c r="L61" s="17" t="s">
        <v>17</v>
      </c>
    </row>
    <row r="62" spans="1:12" x14ac:dyDescent="0.25">
      <c r="A62" s="12">
        <v>2019</v>
      </c>
      <c r="B62" s="12" t="s">
        <v>12</v>
      </c>
      <c r="C62" s="12" t="s">
        <v>13</v>
      </c>
      <c r="D62" s="12" t="s">
        <v>14</v>
      </c>
      <c r="E62" s="13">
        <v>26396</v>
      </c>
      <c r="F62" s="23">
        <v>4212951.0480000004</v>
      </c>
      <c r="G62" s="29">
        <v>1.04</v>
      </c>
      <c r="H62" s="29">
        <v>57.36</v>
      </c>
      <c r="I62" s="12">
        <v>39.549999999999997</v>
      </c>
      <c r="J62" s="12">
        <v>293.10000000000002</v>
      </c>
      <c r="K62" s="26">
        <v>55.87</v>
      </c>
      <c r="L62" s="12" t="s">
        <v>15</v>
      </c>
    </row>
    <row r="63" spans="1:12" x14ac:dyDescent="0.25">
      <c r="A63" s="17">
        <v>2019</v>
      </c>
      <c r="B63" s="17" t="s">
        <v>12</v>
      </c>
      <c r="C63" s="17" t="s">
        <v>16</v>
      </c>
      <c r="D63" s="17" t="s">
        <v>14</v>
      </c>
      <c r="E63" s="18">
        <v>25671</v>
      </c>
      <c r="F63" s="24">
        <v>7240265.60399999</v>
      </c>
      <c r="G63" s="30">
        <v>2.82</v>
      </c>
      <c r="H63" s="30">
        <v>85.8</v>
      </c>
      <c r="I63" s="17">
        <v>42.58</v>
      </c>
      <c r="J63" s="17">
        <v>67.459999999999994</v>
      </c>
      <c r="K63" s="27">
        <v>37.26</v>
      </c>
      <c r="L63" s="17" t="s">
        <v>17</v>
      </c>
    </row>
    <row r="64" spans="1:12" x14ac:dyDescent="0.25">
      <c r="A64" s="12">
        <v>2019</v>
      </c>
      <c r="B64" s="12" t="s">
        <v>12</v>
      </c>
      <c r="C64" s="12" t="s">
        <v>18</v>
      </c>
      <c r="D64" s="12" t="s">
        <v>14</v>
      </c>
      <c r="E64" s="13">
        <v>16573</v>
      </c>
      <c r="F64" s="23">
        <v>25608331.510000002</v>
      </c>
      <c r="G64" s="29">
        <v>-0.03</v>
      </c>
      <c r="H64" s="29">
        <v>47.02</v>
      </c>
      <c r="I64" s="12">
        <v>3.78</v>
      </c>
      <c r="J64" s="12">
        <v>77.25</v>
      </c>
      <c r="K64" s="26">
        <v>84.66</v>
      </c>
      <c r="L64" s="12" t="s">
        <v>19</v>
      </c>
    </row>
    <row r="65" spans="1:12" x14ac:dyDescent="0.25">
      <c r="A65" s="17">
        <v>2019</v>
      </c>
      <c r="B65" s="17" t="s">
        <v>12</v>
      </c>
      <c r="C65" s="17" t="s">
        <v>20</v>
      </c>
      <c r="D65" s="17" t="s">
        <v>14</v>
      </c>
      <c r="E65" s="18">
        <v>7177</v>
      </c>
      <c r="F65" s="24">
        <v>21984415.829999998</v>
      </c>
      <c r="G65" s="30">
        <v>0.84</v>
      </c>
      <c r="H65" s="30">
        <v>25.7</v>
      </c>
      <c r="I65" s="17">
        <v>23.41</v>
      </c>
      <c r="J65" s="17">
        <v>105.27</v>
      </c>
      <c r="K65" s="27">
        <v>40.03</v>
      </c>
      <c r="L65" s="17" t="s">
        <v>21</v>
      </c>
    </row>
    <row r="66" spans="1:12" x14ac:dyDescent="0.25">
      <c r="A66" s="12">
        <v>2019</v>
      </c>
      <c r="B66" s="12" t="s">
        <v>12</v>
      </c>
      <c r="C66" s="12" t="s">
        <v>22</v>
      </c>
      <c r="D66" s="12" t="s">
        <v>14</v>
      </c>
      <c r="E66" s="13">
        <v>45633</v>
      </c>
      <c r="F66" s="23">
        <v>16342437.5</v>
      </c>
      <c r="G66" s="29">
        <v>2.36</v>
      </c>
      <c r="H66" s="29">
        <v>89.13</v>
      </c>
      <c r="I66" s="12">
        <v>44.43</v>
      </c>
      <c r="J66" s="12">
        <v>206.17</v>
      </c>
      <c r="K66" s="26">
        <v>76.88</v>
      </c>
      <c r="L66" s="12" t="s">
        <v>17</v>
      </c>
    </row>
    <row r="67" spans="1:12" x14ac:dyDescent="0.25">
      <c r="A67" s="17">
        <v>2019</v>
      </c>
      <c r="B67" s="17" t="s">
        <v>12</v>
      </c>
      <c r="C67" s="17" t="s">
        <v>23</v>
      </c>
      <c r="D67" s="17" t="s">
        <v>24</v>
      </c>
      <c r="E67" s="18">
        <v>15912</v>
      </c>
      <c r="F67" s="24">
        <v>17178326.899999999</v>
      </c>
      <c r="G67" s="30">
        <v>5.41</v>
      </c>
      <c r="H67" s="30">
        <v>59.12</v>
      </c>
      <c r="I67" s="17">
        <v>12.14</v>
      </c>
      <c r="J67" s="17">
        <v>179.15</v>
      </c>
      <c r="K67" s="27">
        <v>80.790000000000006</v>
      </c>
      <c r="L67" s="17" t="s">
        <v>19</v>
      </c>
    </row>
    <row r="68" spans="1:12" x14ac:dyDescent="0.25">
      <c r="A68" s="12">
        <v>2019</v>
      </c>
      <c r="B68" s="12" t="s">
        <v>12</v>
      </c>
      <c r="C68" s="12" t="s">
        <v>25</v>
      </c>
      <c r="D68" s="12" t="s">
        <v>24</v>
      </c>
      <c r="E68" s="13">
        <v>7231</v>
      </c>
      <c r="F68" s="23">
        <v>48639810.189999998</v>
      </c>
      <c r="G68" s="29">
        <v>5.9</v>
      </c>
      <c r="H68" s="29">
        <v>52.94</v>
      </c>
      <c r="I68" s="12">
        <v>44.36</v>
      </c>
      <c r="J68" s="12">
        <v>259.16000000000003</v>
      </c>
      <c r="K68" s="26">
        <v>77.55</v>
      </c>
      <c r="L68" s="12" t="s">
        <v>17</v>
      </c>
    </row>
    <row r="69" spans="1:12" x14ac:dyDescent="0.25">
      <c r="A69" s="17">
        <v>2019</v>
      </c>
      <c r="B69" s="17" t="s">
        <v>12</v>
      </c>
      <c r="C69" s="17" t="s">
        <v>26</v>
      </c>
      <c r="D69" s="17" t="s">
        <v>24</v>
      </c>
      <c r="E69" s="18">
        <v>58711</v>
      </c>
      <c r="F69" s="24">
        <v>70175779.069999993</v>
      </c>
      <c r="G69" s="30">
        <v>4.92</v>
      </c>
      <c r="H69" s="30">
        <v>79.95</v>
      </c>
      <c r="I69" s="17">
        <v>49.7</v>
      </c>
      <c r="J69" s="17">
        <v>191.42</v>
      </c>
      <c r="K69" s="27">
        <v>74.83</v>
      </c>
      <c r="L69" s="17" t="s">
        <v>27</v>
      </c>
    </row>
    <row r="70" spans="1:12" x14ac:dyDescent="0.25">
      <c r="A70" s="12">
        <v>2019</v>
      </c>
      <c r="B70" s="12" t="s">
        <v>12</v>
      </c>
      <c r="C70" s="12" t="s">
        <v>28</v>
      </c>
      <c r="D70" s="12" t="s">
        <v>24</v>
      </c>
      <c r="E70" s="13">
        <v>40641</v>
      </c>
      <c r="F70" s="23">
        <v>51959555.759999998</v>
      </c>
      <c r="G70" s="29">
        <v>2.64</v>
      </c>
      <c r="H70" s="29">
        <v>44.77</v>
      </c>
      <c r="I70" s="12">
        <v>31.27</v>
      </c>
      <c r="J70" s="12">
        <v>151.18</v>
      </c>
      <c r="K70" s="26">
        <v>66.509999999999906</v>
      </c>
      <c r="L70" s="12" t="s">
        <v>21</v>
      </c>
    </row>
    <row r="71" spans="1:12" x14ac:dyDescent="0.25">
      <c r="A71" s="17">
        <v>2019</v>
      </c>
      <c r="B71" s="17" t="s">
        <v>12</v>
      </c>
      <c r="C71" s="17" t="s">
        <v>29</v>
      </c>
      <c r="D71" s="17" t="s">
        <v>24</v>
      </c>
      <c r="E71" s="18">
        <v>38119</v>
      </c>
      <c r="F71" s="24">
        <v>49899540.799999997</v>
      </c>
      <c r="G71" s="30">
        <v>6.84</v>
      </c>
      <c r="H71" s="30">
        <v>51.21</v>
      </c>
      <c r="I71" s="17">
        <v>38.33</v>
      </c>
      <c r="J71" s="17">
        <v>284.33</v>
      </c>
      <c r="K71" s="27">
        <v>87.01</v>
      </c>
      <c r="L71" s="17" t="s">
        <v>17</v>
      </c>
    </row>
    <row r="72" spans="1:12" x14ac:dyDescent="0.25">
      <c r="A72" s="12">
        <v>2019</v>
      </c>
      <c r="B72" s="12" t="s">
        <v>12</v>
      </c>
      <c r="C72" s="12" t="s">
        <v>30</v>
      </c>
      <c r="D72" s="12" t="s">
        <v>24</v>
      </c>
      <c r="E72" s="13">
        <v>36255</v>
      </c>
      <c r="F72" s="23">
        <v>12091673.939999999</v>
      </c>
      <c r="G72" s="29">
        <v>4.66</v>
      </c>
      <c r="H72" s="29">
        <v>56.5</v>
      </c>
      <c r="I72" s="12">
        <v>9.77</v>
      </c>
      <c r="J72" s="12">
        <v>81.430000000000007</v>
      </c>
      <c r="K72" s="26">
        <v>85.88</v>
      </c>
      <c r="L72" s="12" t="s">
        <v>19</v>
      </c>
    </row>
    <row r="73" spans="1:12" x14ac:dyDescent="0.25">
      <c r="A73" s="17">
        <v>2019</v>
      </c>
      <c r="B73" s="17" t="s">
        <v>12</v>
      </c>
      <c r="C73" s="17" t="s">
        <v>31</v>
      </c>
      <c r="D73" s="17" t="s">
        <v>24</v>
      </c>
      <c r="E73" s="18">
        <v>19643</v>
      </c>
      <c r="F73" s="24">
        <v>36029498.520000003</v>
      </c>
      <c r="G73" s="30">
        <v>5.67</v>
      </c>
      <c r="H73" s="30">
        <v>76.62</v>
      </c>
      <c r="I73" s="17">
        <v>22.84</v>
      </c>
      <c r="J73" s="17">
        <v>220.82</v>
      </c>
      <c r="K73" s="27">
        <v>88.16</v>
      </c>
      <c r="L73" s="17" t="s">
        <v>15</v>
      </c>
    </row>
    <row r="74" spans="1:12" x14ac:dyDescent="0.25">
      <c r="A74" s="12">
        <v>2019</v>
      </c>
      <c r="B74" s="12" t="s">
        <v>12</v>
      </c>
      <c r="C74" s="12" t="s">
        <v>32</v>
      </c>
      <c r="D74" s="12" t="s">
        <v>24</v>
      </c>
      <c r="E74" s="13">
        <v>12612</v>
      </c>
      <c r="F74" s="23">
        <v>57161551.82</v>
      </c>
      <c r="G74" s="29">
        <v>3.24</v>
      </c>
      <c r="H74" s="29">
        <v>64.479999999999905</v>
      </c>
      <c r="I74" s="12">
        <v>14.98</v>
      </c>
      <c r="J74" s="12">
        <v>161.49</v>
      </c>
      <c r="K74" s="26">
        <v>85.67</v>
      </c>
      <c r="L74" s="12" t="s">
        <v>19</v>
      </c>
    </row>
    <row r="75" spans="1:12" x14ac:dyDescent="0.25">
      <c r="A75" s="17">
        <v>2019</v>
      </c>
      <c r="B75" s="17" t="s">
        <v>12</v>
      </c>
      <c r="C75" s="17" t="s">
        <v>33</v>
      </c>
      <c r="D75" s="17" t="s">
        <v>24</v>
      </c>
      <c r="E75" s="18">
        <v>22722</v>
      </c>
      <c r="F75" s="24">
        <v>45310946.807999998</v>
      </c>
      <c r="G75" s="30">
        <v>2.88</v>
      </c>
      <c r="H75" s="30">
        <v>87.12</v>
      </c>
      <c r="I75" s="17">
        <v>19.04</v>
      </c>
      <c r="J75" s="17">
        <v>233.87</v>
      </c>
      <c r="K75" s="27">
        <v>45.66</v>
      </c>
      <c r="L75" s="17" t="s">
        <v>27</v>
      </c>
    </row>
    <row r="76" spans="1:12" x14ac:dyDescent="0.25">
      <c r="A76" s="12">
        <v>2019</v>
      </c>
      <c r="B76" s="12" t="s">
        <v>12</v>
      </c>
      <c r="C76" s="12" t="s">
        <v>34</v>
      </c>
      <c r="D76" s="12" t="s">
        <v>24</v>
      </c>
      <c r="E76" s="13">
        <v>8453</v>
      </c>
      <c r="F76" s="23">
        <v>46937282.289999999</v>
      </c>
      <c r="G76" s="29">
        <v>3.48</v>
      </c>
      <c r="H76" s="29">
        <v>72.729999999999905</v>
      </c>
      <c r="I76" s="12">
        <v>23.32</v>
      </c>
      <c r="J76" s="12">
        <v>130.87</v>
      </c>
      <c r="K76" s="26">
        <v>53.81</v>
      </c>
      <c r="L76" s="12" t="s">
        <v>17</v>
      </c>
    </row>
    <row r="77" spans="1:12" x14ac:dyDescent="0.25">
      <c r="A77" s="17">
        <v>2019</v>
      </c>
      <c r="B77" s="17" t="s">
        <v>35</v>
      </c>
      <c r="C77" s="17" t="s">
        <v>13</v>
      </c>
      <c r="D77" s="17" t="s">
        <v>14</v>
      </c>
      <c r="E77" s="18">
        <v>19160</v>
      </c>
      <c r="F77" s="24">
        <v>6660064.7999999998</v>
      </c>
      <c r="G77" s="30">
        <v>1.56</v>
      </c>
      <c r="H77" s="30">
        <v>67.69</v>
      </c>
      <c r="I77" s="17">
        <v>14.6</v>
      </c>
      <c r="J77" s="17">
        <v>156.93</v>
      </c>
      <c r="K77" s="27">
        <v>64.040000000000006</v>
      </c>
      <c r="L77" s="17" t="s">
        <v>19</v>
      </c>
    </row>
    <row r="78" spans="1:12" x14ac:dyDescent="0.25">
      <c r="A78" s="12">
        <v>2019</v>
      </c>
      <c r="B78" s="12" t="s">
        <v>35</v>
      </c>
      <c r="C78" s="12" t="s">
        <v>16</v>
      </c>
      <c r="D78" s="12" t="s">
        <v>14</v>
      </c>
      <c r="E78" s="13">
        <v>38253</v>
      </c>
      <c r="F78" s="23">
        <v>53195937.002999999</v>
      </c>
      <c r="G78" s="29">
        <v>-0.05</v>
      </c>
      <c r="H78" s="29">
        <v>76.73</v>
      </c>
      <c r="I78" s="12">
        <v>31.96</v>
      </c>
      <c r="J78" s="12">
        <v>273.85000000000002</v>
      </c>
      <c r="K78" s="26">
        <v>38.28</v>
      </c>
      <c r="L78" s="12" t="s">
        <v>19</v>
      </c>
    </row>
    <row r="79" spans="1:12" x14ac:dyDescent="0.25">
      <c r="A79" s="17">
        <v>2019</v>
      </c>
      <c r="B79" s="17" t="s">
        <v>35</v>
      </c>
      <c r="C79" s="17" t="s">
        <v>18</v>
      </c>
      <c r="D79" s="17" t="s">
        <v>14</v>
      </c>
      <c r="E79" s="18">
        <v>17404</v>
      </c>
      <c r="F79" s="24">
        <v>14950208.85</v>
      </c>
      <c r="G79" s="30">
        <v>2.5099999999999998</v>
      </c>
      <c r="H79" s="30">
        <v>38.86</v>
      </c>
      <c r="I79" s="17">
        <v>36.380000000000003</v>
      </c>
      <c r="J79" s="17">
        <v>105.21</v>
      </c>
      <c r="K79" s="27">
        <v>67.78</v>
      </c>
      <c r="L79" s="17" t="s">
        <v>19</v>
      </c>
    </row>
    <row r="80" spans="1:12" x14ac:dyDescent="0.25">
      <c r="A80" s="12">
        <v>2019</v>
      </c>
      <c r="B80" s="12" t="s">
        <v>35</v>
      </c>
      <c r="C80" s="12" t="s">
        <v>20</v>
      </c>
      <c r="D80" s="12" t="s">
        <v>14</v>
      </c>
      <c r="E80" s="13">
        <v>27841</v>
      </c>
      <c r="F80" s="23">
        <v>9787426.5150000006</v>
      </c>
      <c r="G80" s="29">
        <v>3.96</v>
      </c>
      <c r="H80" s="29">
        <v>75.22</v>
      </c>
      <c r="I80" s="12">
        <v>46.41</v>
      </c>
      <c r="J80" s="12">
        <v>283.25</v>
      </c>
      <c r="K80" s="26">
        <v>44.96</v>
      </c>
      <c r="L80" s="12" t="s">
        <v>19</v>
      </c>
    </row>
    <row r="81" spans="1:12" x14ac:dyDescent="0.25">
      <c r="A81" s="17">
        <v>2019</v>
      </c>
      <c r="B81" s="17" t="s">
        <v>35</v>
      </c>
      <c r="C81" s="17" t="s">
        <v>22</v>
      </c>
      <c r="D81" s="17" t="s">
        <v>14</v>
      </c>
      <c r="E81" s="18">
        <v>10047</v>
      </c>
      <c r="F81" s="24">
        <v>10691516.9</v>
      </c>
      <c r="G81" s="30">
        <v>1.56</v>
      </c>
      <c r="H81" s="30">
        <v>45.75</v>
      </c>
      <c r="I81" s="17">
        <v>15.36</v>
      </c>
      <c r="J81" s="17">
        <v>112.81</v>
      </c>
      <c r="K81" s="27">
        <v>85.33</v>
      </c>
      <c r="L81" s="17" t="s">
        <v>19</v>
      </c>
    </row>
    <row r="82" spans="1:12" x14ac:dyDescent="0.25">
      <c r="A82" s="12">
        <v>2019</v>
      </c>
      <c r="B82" s="12" t="s">
        <v>35</v>
      </c>
      <c r="C82" s="12" t="s">
        <v>23</v>
      </c>
      <c r="D82" s="12" t="s">
        <v>24</v>
      </c>
      <c r="E82" s="13">
        <v>25054</v>
      </c>
      <c r="F82" s="23">
        <v>40495943.740000002</v>
      </c>
      <c r="G82" s="29">
        <v>4.6399999999999997</v>
      </c>
      <c r="H82" s="29">
        <v>67.39</v>
      </c>
      <c r="I82" s="12">
        <v>21.03</v>
      </c>
      <c r="J82" s="12">
        <v>212.78</v>
      </c>
      <c r="K82" s="26">
        <v>63.69</v>
      </c>
      <c r="L82" s="12" t="s">
        <v>27</v>
      </c>
    </row>
    <row r="83" spans="1:12" x14ac:dyDescent="0.25">
      <c r="A83" s="17">
        <v>2019</v>
      </c>
      <c r="B83" s="17" t="s">
        <v>35</v>
      </c>
      <c r="C83" s="17" t="s">
        <v>25</v>
      </c>
      <c r="D83" s="17" t="s">
        <v>24</v>
      </c>
      <c r="E83" s="18">
        <v>37263</v>
      </c>
      <c r="F83" s="24">
        <v>29763310.309999999</v>
      </c>
      <c r="G83" s="30">
        <v>2.76</v>
      </c>
      <c r="H83" s="30">
        <v>55.56</v>
      </c>
      <c r="I83" s="17">
        <v>16.03</v>
      </c>
      <c r="J83" s="17">
        <v>263.32</v>
      </c>
      <c r="K83" s="27">
        <v>64.63</v>
      </c>
      <c r="L83" s="17" t="s">
        <v>15</v>
      </c>
    </row>
    <row r="84" spans="1:12" x14ac:dyDescent="0.25">
      <c r="A84" s="12">
        <v>2019</v>
      </c>
      <c r="B84" s="12" t="s">
        <v>35</v>
      </c>
      <c r="C84" s="12" t="s">
        <v>26</v>
      </c>
      <c r="D84" s="12" t="s">
        <v>24</v>
      </c>
      <c r="E84" s="13">
        <v>39191</v>
      </c>
      <c r="F84" s="23">
        <v>19631909.34</v>
      </c>
      <c r="G84" s="29">
        <v>3.35</v>
      </c>
      <c r="H84" s="29">
        <v>100.83</v>
      </c>
      <c r="I84" s="12">
        <v>49.18</v>
      </c>
      <c r="J84" s="12">
        <v>59.84</v>
      </c>
      <c r="K84" s="26">
        <v>53.2</v>
      </c>
      <c r="L84" s="12" t="s">
        <v>21</v>
      </c>
    </row>
    <row r="85" spans="1:12" x14ac:dyDescent="0.25">
      <c r="A85" s="17">
        <v>2019</v>
      </c>
      <c r="B85" s="17" t="s">
        <v>35</v>
      </c>
      <c r="C85" s="17" t="s">
        <v>28</v>
      </c>
      <c r="D85" s="17" t="s">
        <v>24</v>
      </c>
      <c r="E85" s="18">
        <v>11320</v>
      </c>
      <c r="F85" s="24">
        <v>36678245.920000002</v>
      </c>
      <c r="G85" s="30">
        <v>5.99</v>
      </c>
      <c r="H85" s="30">
        <v>50.12</v>
      </c>
      <c r="I85" s="17">
        <v>43.18</v>
      </c>
      <c r="J85" s="17">
        <v>251.51</v>
      </c>
      <c r="K85" s="27">
        <v>88.81</v>
      </c>
      <c r="L85" s="17" t="s">
        <v>21</v>
      </c>
    </row>
    <row r="86" spans="1:12" x14ac:dyDescent="0.25">
      <c r="A86" s="12">
        <v>2019</v>
      </c>
      <c r="B86" s="12" t="s">
        <v>35</v>
      </c>
      <c r="C86" s="12" t="s">
        <v>29</v>
      </c>
      <c r="D86" s="12" t="s">
        <v>24</v>
      </c>
      <c r="E86" s="13">
        <v>31105</v>
      </c>
      <c r="F86" s="23">
        <v>12818738.02</v>
      </c>
      <c r="G86" s="29">
        <v>4.7699999999999996</v>
      </c>
      <c r="H86" s="29">
        <v>93.04</v>
      </c>
      <c r="I86" s="12">
        <v>20.52</v>
      </c>
      <c r="J86" s="12">
        <v>110.55</v>
      </c>
      <c r="K86" s="26">
        <v>73.069999999999993</v>
      </c>
      <c r="L86" s="12" t="s">
        <v>21</v>
      </c>
    </row>
    <row r="87" spans="1:12" x14ac:dyDescent="0.25">
      <c r="A87" s="17">
        <v>2019</v>
      </c>
      <c r="B87" s="17" t="s">
        <v>35</v>
      </c>
      <c r="C87" s="17" t="s">
        <v>30</v>
      </c>
      <c r="D87" s="17" t="s">
        <v>24</v>
      </c>
      <c r="E87" s="18">
        <v>24185</v>
      </c>
      <c r="F87" s="24">
        <v>52192972.549999997</v>
      </c>
      <c r="G87" s="30">
        <v>2.95</v>
      </c>
      <c r="H87" s="30">
        <v>40.549999999999997</v>
      </c>
      <c r="I87" s="17">
        <v>46.73</v>
      </c>
      <c r="J87" s="17">
        <v>200.47</v>
      </c>
      <c r="K87" s="27">
        <v>83.06</v>
      </c>
      <c r="L87" s="17" t="s">
        <v>19</v>
      </c>
    </row>
    <row r="88" spans="1:12" x14ac:dyDescent="0.25">
      <c r="A88" s="12">
        <v>2019</v>
      </c>
      <c r="B88" s="12" t="s">
        <v>35</v>
      </c>
      <c r="C88" s="12" t="s">
        <v>31</v>
      </c>
      <c r="D88" s="12" t="s">
        <v>24</v>
      </c>
      <c r="E88" s="13">
        <v>8422</v>
      </c>
      <c r="F88" s="23">
        <v>11292488.050000001</v>
      </c>
      <c r="G88" s="29">
        <v>6</v>
      </c>
      <c r="H88" s="29">
        <v>55.76</v>
      </c>
      <c r="I88" s="12">
        <v>30.55</v>
      </c>
      <c r="J88" s="12">
        <v>170.31</v>
      </c>
      <c r="K88" s="26">
        <v>78.44</v>
      </c>
      <c r="L88" s="12" t="s">
        <v>17</v>
      </c>
    </row>
    <row r="89" spans="1:12" x14ac:dyDescent="0.25">
      <c r="A89" s="17">
        <v>2019</v>
      </c>
      <c r="B89" s="17" t="s">
        <v>35</v>
      </c>
      <c r="C89" s="17" t="s">
        <v>32</v>
      </c>
      <c r="D89" s="17" t="s">
        <v>24</v>
      </c>
      <c r="E89" s="18">
        <v>56397</v>
      </c>
      <c r="F89" s="24">
        <v>18390883.850000001</v>
      </c>
      <c r="G89" s="30">
        <v>6.11</v>
      </c>
      <c r="H89" s="30">
        <v>70.959999999999994</v>
      </c>
      <c r="I89" s="17">
        <v>23.8</v>
      </c>
      <c r="J89" s="17">
        <v>167.75</v>
      </c>
      <c r="K89" s="27">
        <v>55.21</v>
      </c>
      <c r="L89" s="17" t="s">
        <v>21</v>
      </c>
    </row>
    <row r="90" spans="1:12" x14ac:dyDescent="0.25">
      <c r="A90" s="12">
        <v>2019</v>
      </c>
      <c r="B90" s="12" t="s">
        <v>35</v>
      </c>
      <c r="C90" s="12" t="s">
        <v>33</v>
      </c>
      <c r="D90" s="12" t="s">
        <v>24</v>
      </c>
      <c r="E90" s="13">
        <v>36613</v>
      </c>
      <c r="F90" s="23">
        <v>63070767.789999999</v>
      </c>
      <c r="G90" s="29">
        <v>3.25</v>
      </c>
      <c r="H90" s="29">
        <v>83.96</v>
      </c>
      <c r="I90" s="12">
        <v>13.22</v>
      </c>
      <c r="J90" s="12">
        <v>280.73</v>
      </c>
      <c r="K90" s="26">
        <v>75.510000000000005</v>
      </c>
      <c r="L90" s="12" t="s">
        <v>21</v>
      </c>
    </row>
    <row r="91" spans="1:12" x14ac:dyDescent="0.25">
      <c r="A91" s="17">
        <v>2019</v>
      </c>
      <c r="B91" s="17" t="s">
        <v>35</v>
      </c>
      <c r="C91" s="17" t="s">
        <v>34</v>
      </c>
      <c r="D91" s="17" t="s">
        <v>24</v>
      </c>
      <c r="E91" s="18">
        <v>12030</v>
      </c>
      <c r="F91" s="24">
        <v>33549565.920000002</v>
      </c>
      <c r="G91" s="30">
        <v>5.82</v>
      </c>
      <c r="H91" s="30">
        <v>48.62</v>
      </c>
      <c r="I91" s="17">
        <v>36.32</v>
      </c>
      <c r="J91" s="17">
        <v>227.63</v>
      </c>
      <c r="K91" s="27">
        <v>91.79</v>
      </c>
      <c r="L91" s="17" t="s">
        <v>17</v>
      </c>
    </row>
    <row r="92" spans="1:12" x14ac:dyDescent="0.25">
      <c r="A92" s="12">
        <v>2019</v>
      </c>
      <c r="B92" s="12" t="s">
        <v>36</v>
      </c>
      <c r="C92" s="12" t="s">
        <v>13</v>
      </c>
      <c r="D92" s="12" t="s">
        <v>14</v>
      </c>
      <c r="E92" s="13">
        <v>27112</v>
      </c>
      <c r="F92" s="23">
        <v>27051337.739999998</v>
      </c>
      <c r="G92" s="29">
        <v>3.78</v>
      </c>
      <c r="H92" s="29">
        <v>61.35</v>
      </c>
      <c r="I92" s="12">
        <v>47.48</v>
      </c>
      <c r="J92" s="12">
        <v>152</v>
      </c>
      <c r="K92" s="26">
        <v>50.23</v>
      </c>
      <c r="L92" s="12" t="s">
        <v>21</v>
      </c>
    </row>
    <row r="93" spans="1:12" x14ac:dyDescent="0.25">
      <c r="A93" s="17">
        <v>2019</v>
      </c>
      <c r="B93" s="17" t="s">
        <v>36</v>
      </c>
      <c r="C93" s="17" t="s">
        <v>16</v>
      </c>
      <c r="D93" s="17" t="s">
        <v>14</v>
      </c>
      <c r="E93" s="18">
        <v>28788</v>
      </c>
      <c r="F93" s="24">
        <v>10130230.560000001</v>
      </c>
      <c r="G93" s="30">
        <v>1.38</v>
      </c>
      <c r="H93" s="30">
        <v>25.88</v>
      </c>
      <c r="I93" s="17">
        <v>6.92</v>
      </c>
      <c r="J93" s="17">
        <v>129.04</v>
      </c>
      <c r="K93" s="27">
        <v>46.41</v>
      </c>
      <c r="L93" s="17" t="s">
        <v>19</v>
      </c>
    </row>
    <row r="94" spans="1:12" x14ac:dyDescent="0.25">
      <c r="A94" s="12">
        <v>2019</v>
      </c>
      <c r="B94" s="12" t="s">
        <v>36</v>
      </c>
      <c r="C94" s="12" t="s">
        <v>18</v>
      </c>
      <c r="D94" s="12" t="s">
        <v>14</v>
      </c>
      <c r="E94" s="13">
        <v>29329</v>
      </c>
      <c r="F94" s="23">
        <v>11066723.119999999</v>
      </c>
      <c r="G94" s="29">
        <v>1.23</v>
      </c>
      <c r="H94" s="29">
        <v>57.98</v>
      </c>
      <c r="I94" s="12">
        <v>32.340000000000003</v>
      </c>
      <c r="J94" s="12">
        <v>132.81</v>
      </c>
      <c r="K94" s="26">
        <v>77.31</v>
      </c>
      <c r="L94" s="12" t="s">
        <v>15</v>
      </c>
    </row>
    <row r="95" spans="1:12" x14ac:dyDescent="0.25">
      <c r="A95" s="17">
        <v>2019</v>
      </c>
      <c r="B95" s="17" t="s">
        <v>36</v>
      </c>
      <c r="C95" s="17" t="s">
        <v>20</v>
      </c>
      <c r="D95" s="17" t="s">
        <v>14</v>
      </c>
      <c r="E95" s="18">
        <v>12535</v>
      </c>
      <c r="F95" s="24">
        <v>28466176.109999999</v>
      </c>
      <c r="G95" s="30">
        <v>2.09</v>
      </c>
      <c r="H95" s="30">
        <v>55.61</v>
      </c>
      <c r="I95" s="17">
        <v>31.12</v>
      </c>
      <c r="J95" s="17">
        <v>111.28</v>
      </c>
      <c r="K95" s="27">
        <v>47.14</v>
      </c>
      <c r="L95" s="17" t="s">
        <v>17</v>
      </c>
    </row>
    <row r="96" spans="1:12" x14ac:dyDescent="0.25">
      <c r="A96" s="12">
        <v>2019</v>
      </c>
      <c r="B96" s="12" t="s">
        <v>36</v>
      </c>
      <c r="C96" s="12" t="s">
        <v>22</v>
      </c>
      <c r="D96" s="12" t="s">
        <v>14</v>
      </c>
      <c r="E96" s="13">
        <v>20683</v>
      </c>
      <c r="F96" s="23">
        <v>15828498.960000001</v>
      </c>
      <c r="G96" s="29">
        <v>0.34</v>
      </c>
      <c r="H96" s="29">
        <v>30.32</v>
      </c>
      <c r="I96" s="12">
        <v>-0.65</v>
      </c>
      <c r="J96" s="12">
        <v>239.67</v>
      </c>
      <c r="K96" s="26">
        <v>46.13</v>
      </c>
      <c r="L96" s="12" t="s">
        <v>27</v>
      </c>
    </row>
    <row r="97" spans="1:12" x14ac:dyDescent="0.25">
      <c r="A97" s="17">
        <v>2019</v>
      </c>
      <c r="B97" s="17" t="s">
        <v>36</v>
      </c>
      <c r="C97" s="17" t="s">
        <v>23</v>
      </c>
      <c r="D97" s="17" t="s">
        <v>24</v>
      </c>
      <c r="E97" s="18">
        <v>57404</v>
      </c>
      <c r="F97" s="24">
        <v>22248956.960000001</v>
      </c>
      <c r="G97" s="30">
        <v>6.12</v>
      </c>
      <c r="H97" s="30">
        <v>83.5</v>
      </c>
      <c r="I97" s="17">
        <v>46.57</v>
      </c>
      <c r="J97" s="17">
        <v>211.08</v>
      </c>
      <c r="K97" s="27">
        <v>58.89</v>
      </c>
      <c r="L97" s="17" t="s">
        <v>27</v>
      </c>
    </row>
    <row r="98" spans="1:12" x14ac:dyDescent="0.25">
      <c r="A98" s="12">
        <v>2019</v>
      </c>
      <c r="B98" s="12" t="s">
        <v>36</v>
      </c>
      <c r="C98" s="12" t="s">
        <v>25</v>
      </c>
      <c r="D98" s="12" t="s">
        <v>24</v>
      </c>
      <c r="E98" s="13">
        <v>56869</v>
      </c>
      <c r="F98" s="23">
        <v>78970161.311999902</v>
      </c>
      <c r="G98" s="29">
        <v>6.12</v>
      </c>
      <c r="H98" s="29">
        <v>102.54</v>
      </c>
      <c r="I98" s="12">
        <v>21.09</v>
      </c>
      <c r="J98" s="12">
        <v>83.18</v>
      </c>
      <c r="K98" s="26">
        <v>94.7</v>
      </c>
      <c r="L98" s="12" t="s">
        <v>17</v>
      </c>
    </row>
    <row r="99" spans="1:12" x14ac:dyDescent="0.25">
      <c r="A99" s="17">
        <v>2019</v>
      </c>
      <c r="B99" s="17" t="s">
        <v>36</v>
      </c>
      <c r="C99" s="17" t="s">
        <v>26</v>
      </c>
      <c r="D99" s="17" t="s">
        <v>24</v>
      </c>
      <c r="E99" s="18">
        <v>6542</v>
      </c>
      <c r="F99" s="24">
        <v>13222480.68</v>
      </c>
      <c r="G99" s="30">
        <v>3.5</v>
      </c>
      <c r="H99" s="30">
        <v>88.84</v>
      </c>
      <c r="I99" s="17">
        <v>26.74</v>
      </c>
      <c r="J99" s="17">
        <v>115.63</v>
      </c>
      <c r="K99" s="27">
        <v>54.75</v>
      </c>
      <c r="L99" s="17" t="s">
        <v>15</v>
      </c>
    </row>
    <row r="100" spans="1:12" x14ac:dyDescent="0.25">
      <c r="A100" s="12">
        <v>2019</v>
      </c>
      <c r="B100" s="12" t="s">
        <v>36</v>
      </c>
      <c r="C100" s="12" t="s">
        <v>28</v>
      </c>
      <c r="D100" s="12" t="s">
        <v>24</v>
      </c>
      <c r="E100" s="13">
        <v>57951</v>
      </c>
      <c r="F100" s="23">
        <v>41600297.390000001</v>
      </c>
      <c r="G100" s="29">
        <v>2.72</v>
      </c>
      <c r="H100" s="29">
        <v>55.58</v>
      </c>
      <c r="I100" s="12">
        <v>17.57</v>
      </c>
      <c r="J100" s="12">
        <v>184.77</v>
      </c>
      <c r="K100" s="26">
        <v>67.900000000000006</v>
      </c>
      <c r="L100" s="12" t="s">
        <v>15</v>
      </c>
    </row>
    <row r="101" spans="1:12" x14ac:dyDescent="0.25">
      <c r="A101" s="17">
        <v>2019</v>
      </c>
      <c r="B101" s="17" t="s">
        <v>36</v>
      </c>
      <c r="C101" s="17" t="s">
        <v>29</v>
      </c>
      <c r="D101" s="17" t="s">
        <v>24</v>
      </c>
      <c r="E101" s="18">
        <v>25004</v>
      </c>
      <c r="F101" s="24">
        <v>28940719.489999998</v>
      </c>
      <c r="G101" s="30">
        <v>6.33</v>
      </c>
      <c r="H101" s="30">
        <v>45.56</v>
      </c>
      <c r="I101" s="17">
        <v>44.29</v>
      </c>
      <c r="J101" s="17">
        <v>124.19</v>
      </c>
      <c r="K101" s="27">
        <v>54.15</v>
      </c>
      <c r="L101" s="17" t="s">
        <v>27</v>
      </c>
    </row>
    <row r="102" spans="1:12" x14ac:dyDescent="0.25">
      <c r="A102" s="12">
        <v>2019</v>
      </c>
      <c r="B102" s="12" t="s">
        <v>36</v>
      </c>
      <c r="C102" s="12" t="s">
        <v>30</v>
      </c>
      <c r="D102" s="12" t="s">
        <v>24</v>
      </c>
      <c r="E102" s="13">
        <v>15756</v>
      </c>
      <c r="F102" s="23">
        <v>19796585.920000002</v>
      </c>
      <c r="G102" s="29">
        <v>3.58</v>
      </c>
      <c r="H102" s="29">
        <v>76.64</v>
      </c>
      <c r="I102" s="12">
        <v>36.22</v>
      </c>
      <c r="J102" s="12">
        <v>206.39</v>
      </c>
      <c r="K102" s="26">
        <v>88.16</v>
      </c>
      <c r="L102" s="12" t="s">
        <v>19</v>
      </c>
    </row>
    <row r="103" spans="1:12" x14ac:dyDescent="0.25">
      <c r="A103" s="17">
        <v>2019</v>
      </c>
      <c r="B103" s="17" t="s">
        <v>36</v>
      </c>
      <c r="C103" s="17" t="s">
        <v>31</v>
      </c>
      <c r="D103" s="17" t="s">
        <v>24</v>
      </c>
      <c r="E103" s="18">
        <v>56418</v>
      </c>
      <c r="F103" s="24">
        <v>53656997.799999997</v>
      </c>
      <c r="G103" s="30">
        <v>6.91</v>
      </c>
      <c r="H103" s="30">
        <v>54.03</v>
      </c>
      <c r="I103" s="17">
        <v>24.27</v>
      </c>
      <c r="J103" s="17">
        <v>61.49</v>
      </c>
      <c r="K103" s="27">
        <v>87.97</v>
      </c>
      <c r="L103" s="17" t="s">
        <v>19</v>
      </c>
    </row>
    <row r="104" spans="1:12" x14ac:dyDescent="0.25">
      <c r="A104" s="12">
        <v>2019</v>
      </c>
      <c r="B104" s="12" t="s">
        <v>36</v>
      </c>
      <c r="C104" s="12" t="s">
        <v>32</v>
      </c>
      <c r="D104" s="12" t="s">
        <v>24</v>
      </c>
      <c r="E104" s="13">
        <v>30819</v>
      </c>
      <c r="F104" s="23">
        <v>60274563.340000004</v>
      </c>
      <c r="G104" s="29">
        <v>3.44</v>
      </c>
      <c r="H104" s="29">
        <v>41.17</v>
      </c>
      <c r="I104" s="12">
        <v>26.42</v>
      </c>
      <c r="J104" s="12">
        <v>199.68</v>
      </c>
      <c r="K104" s="26">
        <v>61.6</v>
      </c>
      <c r="L104" s="12" t="s">
        <v>21</v>
      </c>
    </row>
    <row r="105" spans="1:12" x14ac:dyDescent="0.25">
      <c r="A105" s="17">
        <v>2019</v>
      </c>
      <c r="B105" s="17" t="s">
        <v>36</v>
      </c>
      <c r="C105" s="17" t="s">
        <v>33</v>
      </c>
      <c r="D105" s="17" t="s">
        <v>24</v>
      </c>
      <c r="E105" s="18">
        <v>18284</v>
      </c>
      <c r="F105" s="24">
        <v>26788292.559999999</v>
      </c>
      <c r="G105" s="30">
        <v>6.45</v>
      </c>
      <c r="H105" s="30">
        <v>80</v>
      </c>
      <c r="I105" s="17">
        <v>23.63</v>
      </c>
      <c r="J105" s="17">
        <v>137.72999999999999</v>
      </c>
      <c r="K105" s="27">
        <v>81.319999999999993</v>
      </c>
      <c r="L105" s="17" t="s">
        <v>17</v>
      </c>
    </row>
    <row r="106" spans="1:12" x14ac:dyDescent="0.25">
      <c r="A106" s="12">
        <v>2019</v>
      </c>
      <c r="B106" s="12" t="s">
        <v>36</v>
      </c>
      <c r="C106" s="12" t="s">
        <v>34</v>
      </c>
      <c r="D106" s="12" t="s">
        <v>24</v>
      </c>
      <c r="E106" s="13">
        <v>48617</v>
      </c>
      <c r="F106" s="23">
        <v>6134803.4639999997</v>
      </c>
      <c r="G106" s="29">
        <v>6.48</v>
      </c>
      <c r="H106" s="29">
        <v>91.79</v>
      </c>
      <c r="I106" s="12">
        <v>54.94</v>
      </c>
      <c r="J106" s="12">
        <v>88.28</v>
      </c>
      <c r="K106" s="26">
        <v>82.55</v>
      </c>
      <c r="L106" s="12" t="s">
        <v>17</v>
      </c>
    </row>
    <row r="107" spans="1:12" x14ac:dyDescent="0.25">
      <c r="A107" s="17">
        <v>2019</v>
      </c>
      <c r="B107" s="17" t="s">
        <v>37</v>
      </c>
      <c r="C107" s="17" t="s">
        <v>13</v>
      </c>
      <c r="D107" s="17" t="s">
        <v>14</v>
      </c>
      <c r="E107" s="18">
        <v>30040</v>
      </c>
      <c r="F107" s="24">
        <v>34166065.189999998</v>
      </c>
      <c r="G107" s="30">
        <v>1.5699999999999901</v>
      </c>
      <c r="H107" s="30">
        <v>28.49</v>
      </c>
      <c r="I107" s="17">
        <v>47.01</v>
      </c>
      <c r="J107" s="17">
        <v>243.47</v>
      </c>
      <c r="K107" s="27">
        <v>58.24</v>
      </c>
      <c r="L107" s="17" t="s">
        <v>21</v>
      </c>
    </row>
    <row r="108" spans="1:12" x14ac:dyDescent="0.25">
      <c r="A108" s="12">
        <v>2019</v>
      </c>
      <c r="B108" s="12" t="s">
        <v>37</v>
      </c>
      <c r="C108" s="12" t="s">
        <v>16</v>
      </c>
      <c r="D108" s="12" t="s">
        <v>14</v>
      </c>
      <c r="E108" s="13">
        <v>40978</v>
      </c>
      <c r="F108" s="23">
        <v>52202051.460000001</v>
      </c>
      <c r="G108" s="29">
        <v>0.34</v>
      </c>
      <c r="H108" s="29">
        <v>39.979999999999997</v>
      </c>
      <c r="I108" s="12">
        <v>44.96</v>
      </c>
      <c r="J108" s="12">
        <v>130.25</v>
      </c>
      <c r="K108" s="26">
        <v>45.44</v>
      </c>
      <c r="L108" s="12" t="s">
        <v>27</v>
      </c>
    </row>
    <row r="109" spans="1:12" x14ac:dyDescent="0.25">
      <c r="A109" s="17">
        <v>2019</v>
      </c>
      <c r="B109" s="17" t="s">
        <v>37</v>
      </c>
      <c r="C109" s="17" t="s">
        <v>18</v>
      </c>
      <c r="D109" s="17" t="s">
        <v>14</v>
      </c>
      <c r="E109" s="18">
        <v>46113</v>
      </c>
      <c r="F109" s="24">
        <v>23485210.48</v>
      </c>
      <c r="G109" s="30">
        <v>1.89</v>
      </c>
      <c r="H109" s="30">
        <v>69.900000000000006</v>
      </c>
      <c r="I109" s="17">
        <v>13.34</v>
      </c>
      <c r="J109" s="17">
        <v>167.31</v>
      </c>
      <c r="K109" s="27">
        <v>45.48</v>
      </c>
      <c r="L109" s="17" t="s">
        <v>27</v>
      </c>
    </row>
    <row r="110" spans="1:12" x14ac:dyDescent="0.25">
      <c r="A110" s="12">
        <v>2019</v>
      </c>
      <c r="B110" s="12" t="s">
        <v>37</v>
      </c>
      <c r="C110" s="12" t="s">
        <v>20</v>
      </c>
      <c r="D110" s="12" t="s">
        <v>14</v>
      </c>
      <c r="E110" s="13">
        <v>8438</v>
      </c>
      <c r="F110" s="23">
        <v>35324703.520000003</v>
      </c>
      <c r="G110" s="29">
        <v>2.29</v>
      </c>
      <c r="H110" s="29">
        <v>80.900000000000006</v>
      </c>
      <c r="I110" s="12">
        <v>10.53</v>
      </c>
      <c r="J110" s="12">
        <v>80.150000000000006</v>
      </c>
      <c r="K110" s="26">
        <v>75.72</v>
      </c>
      <c r="L110" s="12" t="s">
        <v>19</v>
      </c>
    </row>
    <row r="111" spans="1:12" x14ac:dyDescent="0.25">
      <c r="A111" s="17">
        <v>2019</v>
      </c>
      <c r="B111" s="17" t="s">
        <v>37</v>
      </c>
      <c r="C111" s="17" t="s">
        <v>22</v>
      </c>
      <c r="D111" s="17" t="s">
        <v>14</v>
      </c>
      <c r="E111" s="18">
        <v>23500</v>
      </c>
      <c r="F111" s="24">
        <v>33337345.93</v>
      </c>
      <c r="G111" s="30">
        <v>3.74</v>
      </c>
      <c r="H111" s="30">
        <v>33.06</v>
      </c>
      <c r="I111" s="17">
        <v>18.7</v>
      </c>
      <c r="J111" s="17">
        <v>73.31</v>
      </c>
      <c r="K111" s="27">
        <v>70.739999999999995</v>
      </c>
      <c r="L111" s="17" t="s">
        <v>27</v>
      </c>
    </row>
    <row r="112" spans="1:12" x14ac:dyDescent="0.25">
      <c r="A112" s="12">
        <v>2019</v>
      </c>
      <c r="B112" s="12" t="s">
        <v>37</v>
      </c>
      <c r="C112" s="12" t="s">
        <v>23</v>
      </c>
      <c r="D112" s="12" t="s">
        <v>24</v>
      </c>
      <c r="E112" s="13">
        <v>40164</v>
      </c>
      <c r="F112" s="23">
        <v>21739755.84</v>
      </c>
      <c r="G112" s="29">
        <v>3.76</v>
      </c>
      <c r="H112" s="29">
        <v>50.13</v>
      </c>
      <c r="I112" s="12">
        <v>13.99</v>
      </c>
      <c r="J112" s="12">
        <v>210.05</v>
      </c>
      <c r="K112" s="26">
        <v>58.83</v>
      </c>
      <c r="L112" s="12" t="s">
        <v>17</v>
      </c>
    </row>
    <row r="113" spans="1:12" x14ac:dyDescent="0.25">
      <c r="A113" s="17">
        <v>2019</v>
      </c>
      <c r="B113" s="17" t="s">
        <v>37</v>
      </c>
      <c r="C113" s="17" t="s">
        <v>25</v>
      </c>
      <c r="D113" s="17" t="s">
        <v>24</v>
      </c>
      <c r="E113" s="18">
        <v>53367</v>
      </c>
      <c r="F113" s="24">
        <v>69827344.420000002</v>
      </c>
      <c r="G113" s="30">
        <v>6.1</v>
      </c>
      <c r="H113" s="30">
        <v>95.93</v>
      </c>
      <c r="I113" s="17">
        <v>47.57</v>
      </c>
      <c r="J113" s="17">
        <v>185.7</v>
      </c>
      <c r="K113" s="27">
        <v>93.45</v>
      </c>
      <c r="L113" s="17" t="s">
        <v>21</v>
      </c>
    </row>
    <row r="114" spans="1:12" x14ac:dyDescent="0.25">
      <c r="A114" s="12">
        <v>2019</v>
      </c>
      <c r="B114" s="12" t="s">
        <v>37</v>
      </c>
      <c r="C114" s="12" t="s">
        <v>26</v>
      </c>
      <c r="D114" s="12" t="s">
        <v>24</v>
      </c>
      <c r="E114" s="13">
        <v>37612</v>
      </c>
      <c r="F114" s="23">
        <v>34802846.640000001</v>
      </c>
      <c r="G114" s="29">
        <v>2.5299999999999998</v>
      </c>
      <c r="H114" s="29">
        <v>66.459999999999994</v>
      </c>
      <c r="I114" s="12">
        <v>24.02</v>
      </c>
      <c r="J114" s="12">
        <v>120.07</v>
      </c>
      <c r="K114" s="26">
        <v>87.24</v>
      </c>
      <c r="L114" s="12" t="s">
        <v>19</v>
      </c>
    </row>
    <row r="115" spans="1:12" x14ac:dyDescent="0.25">
      <c r="A115" s="17">
        <v>2019</v>
      </c>
      <c r="B115" s="17" t="s">
        <v>37</v>
      </c>
      <c r="C115" s="17" t="s">
        <v>28</v>
      </c>
      <c r="D115" s="17" t="s">
        <v>24</v>
      </c>
      <c r="E115" s="18">
        <v>31445</v>
      </c>
      <c r="F115" s="24">
        <v>62662104.5</v>
      </c>
      <c r="G115" s="30">
        <v>4.8599999999999897</v>
      </c>
      <c r="H115" s="30">
        <v>61.44</v>
      </c>
      <c r="I115" s="17">
        <v>27.46</v>
      </c>
      <c r="J115" s="17">
        <v>183.03</v>
      </c>
      <c r="K115" s="27">
        <v>72.209999999999994</v>
      </c>
      <c r="L115" s="17" t="s">
        <v>15</v>
      </c>
    </row>
    <row r="116" spans="1:12" x14ac:dyDescent="0.25">
      <c r="A116" s="12">
        <v>2019</v>
      </c>
      <c r="B116" s="12" t="s">
        <v>37</v>
      </c>
      <c r="C116" s="12" t="s">
        <v>29</v>
      </c>
      <c r="D116" s="12" t="s">
        <v>24</v>
      </c>
      <c r="E116" s="13">
        <v>34541</v>
      </c>
      <c r="F116" s="23">
        <v>23308775.82</v>
      </c>
      <c r="G116" s="29">
        <v>4.0299999999999896</v>
      </c>
      <c r="H116" s="29">
        <v>59.35</v>
      </c>
      <c r="I116" s="12">
        <v>8.3699999999999992</v>
      </c>
      <c r="J116" s="12">
        <v>138.66999999999999</v>
      </c>
      <c r="K116" s="26">
        <v>80.349999999999994</v>
      </c>
      <c r="L116" s="12" t="s">
        <v>17</v>
      </c>
    </row>
    <row r="117" spans="1:12" x14ac:dyDescent="0.25">
      <c r="A117" s="17">
        <v>2019</v>
      </c>
      <c r="B117" s="17" t="s">
        <v>37</v>
      </c>
      <c r="C117" s="17" t="s">
        <v>30</v>
      </c>
      <c r="D117" s="17" t="s">
        <v>24</v>
      </c>
      <c r="E117" s="18">
        <v>6719</v>
      </c>
      <c r="F117" s="24">
        <v>38311286.359999999</v>
      </c>
      <c r="G117" s="30">
        <v>5.38</v>
      </c>
      <c r="H117" s="30">
        <v>42.55</v>
      </c>
      <c r="I117" s="17">
        <v>50.32</v>
      </c>
      <c r="J117" s="17">
        <v>110.97</v>
      </c>
      <c r="K117" s="27">
        <v>87.8</v>
      </c>
      <c r="L117" s="17" t="s">
        <v>15</v>
      </c>
    </row>
    <row r="118" spans="1:12" x14ac:dyDescent="0.25">
      <c r="A118" s="12">
        <v>2019</v>
      </c>
      <c r="B118" s="12" t="s">
        <v>37</v>
      </c>
      <c r="C118" s="12" t="s">
        <v>31</v>
      </c>
      <c r="D118" s="12" t="s">
        <v>24</v>
      </c>
      <c r="E118" s="13">
        <v>32919</v>
      </c>
      <c r="F118" s="23">
        <v>38143238.390000001</v>
      </c>
      <c r="G118" s="29">
        <v>6.62</v>
      </c>
      <c r="H118" s="29">
        <v>79.48</v>
      </c>
      <c r="I118" s="12">
        <v>45.85</v>
      </c>
      <c r="J118" s="12">
        <v>295.62</v>
      </c>
      <c r="K118" s="26">
        <v>58.71</v>
      </c>
      <c r="L118" s="12" t="s">
        <v>21</v>
      </c>
    </row>
    <row r="119" spans="1:12" x14ac:dyDescent="0.25">
      <c r="A119" s="17">
        <v>2019</v>
      </c>
      <c r="B119" s="17" t="s">
        <v>37</v>
      </c>
      <c r="C119" s="17" t="s">
        <v>32</v>
      </c>
      <c r="D119" s="17" t="s">
        <v>24</v>
      </c>
      <c r="E119" s="18">
        <v>46371</v>
      </c>
      <c r="F119" s="24">
        <v>71988709.969999999</v>
      </c>
      <c r="G119" s="30">
        <v>3.21</v>
      </c>
      <c r="H119" s="30">
        <v>88.89</v>
      </c>
      <c r="I119" s="17">
        <v>48.87</v>
      </c>
      <c r="J119" s="17">
        <v>265.70999999999998</v>
      </c>
      <c r="K119" s="27">
        <v>90.81</v>
      </c>
      <c r="L119" s="17" t="s">
        <v>27</v>
      </c>
    </row>
    <row r="120" spans="1:12" x14ac:dyDescent="0.25">
      <c r="A120" s="12">
        <v>2019</v>
      </c>
      <c r="B120" s="12" t="s">
        <v>37</v>
      </c>
      <c r="C120" s="12" t="s">
        <v>33</v>
      </c>
      <c r="D120" s="12" t="s">
        <v>24</v>
      </c>
      <c r="E120" s="13">
        <v>40084</v>
      </c>
      <c r="F120" s="23">
        <v>17163852.827999901</v>
      </c>
      <c r="G120" s="29">
        <v>6.33</v>
      </c>
      <c r="H120" s="29">
        <v>42.8</v>
      </c>
      <c r="I120" s="12">
        <v>48.55</v>
      </c>
      <c r="J120" s="12">
        <v>156.88</v>
      </c>
      <c r="K120" s="26">
        <v>53.55</v>
      </c>
      <c r="L120" s="12" t="s">
        <v>15</v>
      </c>
    </row>
    <row r="121" spans="1:12" x14ac:dyDescent="0.25">
      <c r="A121" s="17">
        <v>2019</v>
      </c>
      <c r="B121" s="17" t="s">
        <v>37</v>
      </c>
      <c r="C121" s="17" t="s">
        <v>34</v>
      </c>
      <c r="D121" s="17" t="s">
        <v>24</v>
      </c>
      <c r="E121" s="18">
        <v>20192</v>
      </c>
      <c r="F121" s="24">
        <v>14639182.699999999</v>
      </c>
      <c r="G121" s="30">
        <v>4.6099999999999897</v>
      </c>
      <c r="H121" s="30">
        <v>48.26</v>
      </c>
      <c r="I121" s="17">
        <v>50.86</v>
      </c>
      <c r="J121" s="17">
        <v>195.2</v>
      </c>
      <c r="K121" s="27">
        <v>60.91</v>
      </c>
      <c r="L121" s="17" t="s">
        <v>17</v>
      </c>
    </row>
    <row r="122" spans="1:12" x14ac:dyDescent="0.25">
      <c r="A122" s="12">
        <v>2019</v>
      </c>
      <c r="B122" s="12" t="s">
        <v>36</v>
      </c>
      <c r="C122" s="12" t="s">
        <v>23</v>
      </c>
      <c r="D122" s="12" t="s">
        <v>24</v>
      </c>
      <c r="E122" s="13">
        <v>57404</v>
      </c>
      <c r="F122" s="23">
        <v>22248956.960000001</v>
      </c>
      <c r="G122" s="29">
        <v>6.12</v>
      </c>
      <c r="H122" s="29">
        <v>83.5</v>
      </c>
      <c r="I122" s="12">
        <v>46.57</v>
      </c>
      <c r="J122" s="12">
        <v>211.08</v>
      </c>
      <c r="K122" s="26">
        <v>58.89</v>
      </c>
      <c r="L122" s="12" t="s">
        <v>27</v>
      </c>
    </row>
    <row r="123" spans="1:12" x14ac:dyDescent="0.25">
      <c r="A123" s="17">
        <v>2019</v>
      </c>
      <c r="B123" s="17" t="s">
        <v>12</v>
      </c>
      <c r="C123" s="17" t="s">
        <v>30</v>
      </c>
      <c r="D123" s="17" t="s">
        <v>24</v>
      </c>
      <c r="E123" s="18">
        <v>36255</v>
      </c>
      <c r="F123" s="24">
        <v>12091673.939999999</v>
      </c>
      <c r="G123" s="30">
        <v>4.66</v>
      </c>
      <c r="H123" s="30">
        <v>56.5</v>
      </c>
      <c r="I123" s="17">
        <v>9.77</v>
      </c>
      <c r="J123" s="17">
        <v>81.430000000000007</v>
      </c>
      <c r="K123" s="27">
        <v>85.88</v>
      </c>
      <c r="L123" s="17" t="s">
        <v>19</v>
      </c>
    </row>
    <row r="124" spans="1:12" x14ac:dyDescent="0.25">
      <c r="A124" s="12">
        <v>2019</v>
      </c>
      <c r="B124" s="12" t="s">
        <v>37</v>
      </c>
      <c r="C124" s="12" t="s">
        <v>23</v>
      </c>
      <c r="D124" s="12" t="s">
        <v>24</v>
      </c>
      <c r="E124" s="13">
        <v>40164</v>
      </c>
      <c r="F124" s="23">
        <v>21739755.84</v>
      </c>
      <c r="G124" s="29">
        <v>3.76</v>
      </c>
      <c r="H124" s="29">
        <v>50.13</v>
      </c>
      <c r="I124" s="12">
        <v>13.99</v>
      </c>
      <c r="J124" s="12">
        <v>210.05</v>
      </c>
      <c r="K124" s="26">
        <v>58.83</v>
      </c>
      <c r="L124" s="12" t="s">
        <v>17</v>
      </c>
    </row>
    <row r="125" spans="1:12" x14ac:dyDescent="0.25">
      <c r="A125" s="17">
        <v>2019</v>
      </c>
      <c r="B125" s="17" t="s">
        <v>12</v>
      </c>
      <c r="C125" s="17" t="s">
        <v>29</v>
      </c>
      <c r="D125" s="17" t="s">
        <v>24</v>
      </c>
      <c r="E125" s="18">
        <v>38119</v>
      </c>
      <c r="F125" s="24">
        <v>49899540.799999997</v>
      </c>
      <c r="G125" s="30">
        <v>6.84</v>
      </c>
      <c r="H125" s="30">
        <v>51.21</v>
      </c>
      <c r="I125" s="17">
        <v>38.33</v>
      </c>
      <c r="J125" s="17">
        <v>284.33</v>
      </c>
      <c r="K125" s="27">
        <v>87.01</v>
      </c>
      <c r="L125" s="17" t="s">
        <v>17</v>
      </c>
    </row>
    <row r="126" spans="1:12" x14ac:dyDescent="0.25">
      <c r="A126" s="12">
        <v>2019</v>
      </c>
      <c r="B126" s="12" t="s">
        <v>37</v>
      </c>
      <c r="C126" s="12" t="s">
        <v>25</v>
      </c>
      <c r="D126" s="12" t="s">
        <v>24</v>
      </c>
      <c r="E126" s="13">
        <v>53367</v>
      </c>
      <c r="F126" s="23">
        <v>69827344.420000002</v>
      </c>
      <c r="G126" s="29">
        <v>6.1</v>
      </c>
      <c r="H126" s="29">
        <v>95.93</v>
      </c>
      <c r="I126" s="12">
        <v>47.57</v>
      </c>
      <c r="J126" s="12">
        <v>185.7</v>
      </c>
      <c r="K126" s="26">
        <v>93.45</v>
      </c>
      <c r="L126" s="12" t="s">
        <v>21</v>
      </c>
    </row>
    <row r="127" spans="1:12" x14ac:dyDescent="0.25">
      <c r="A127" s="17">
        <v>2019</v>
      </c>
      <c r="B127" s="17" t="s">
        <v>36</v>
      </c>
      <c r="C127" s="17" t="s">
        <v>30</v>
      </c>
      <c r="D127" s="17" t="s">
        <v>24</v>
      </c>
      <c r="E127" s="18">
        <v>15756</v>
      </c>
      <c r="F127" s="24">
        <v>19796585.920000002</v>
      </c>
      <c r="G127" s="30">
        <v>3.58</v>
      </c>
      <c r="H127" s="30">
        <v>76.64</v>
      </c>
      <c r="I127" s="17">
        <v>36.22</v>
      </c>
      <c r="J127" s="17">
        <v>206.39</v>
      </c>
      <c r="K127" s="27">
        <v>88.16</v>
      </c>
      <c r="L127" s="17" t="s">
        <v>19</v>
      </c>
    </row>
    <row r="128" spans="1:12" x14ac:dyDescent="0.25">
      <c r="A128" s="12">
        <v>2019</v>
      </c>
      <c r="B128" s="12" t="s">
        <v>36</v>
      </c>
      <c r="C128" s="12" t="s">
        <v>31</v>
      </c>
      <c r="D128" s="12" t="s">
        <v>24</v>
      </c>
      <c r="E128" s="13">
        <v>56418</v>
      </c>
      <c r="F128" s="23">
        <v>53656997.799999997</v>
      </c>
      <c r="G128" s="29">
        <v>6.91</v>
      </c>
      <c r="H128" s="29">
        <v>54.03</v>
      </c>
      <c r="I128" s="12">
        <v>24.27</v>
      </c>
      <c r="J128" s="12">
        <v>61.49</v>
      </c>
      <c r="K128" s="26">
        <v>87.97</v>
      </c>
      <c r="L128" s="12" t="s">
        <v>19</v>
      </c>
    </row>
    <row r="129" spans="1:12" x14ac:dyDescent="0.25">
      <c r="A129" s="17">
        <v>2019</v>
      </c>
      <c r="B129" s="17" t="s">
        <v>12</v>
      </c>
      <c r="C129" s="17" t="s">
        <v>16</v>
      </c>
      <c r="D129" s="17" t="s">
        <v>14</v>
      </c>
      <c r="E129" s="18">
        <v>25671</v>
      </c>
      <c r="F129" s="24">
        <v>7240265.60399999</v>
      </c>
      <c r="G129" s="30">
        <v>2.82</v>
      </c>
      <c r="H129" s="30">
        <v>85.8</v>
      </c>
      <c r="I129" s="17">
        <v>42.58</v>
      </c>
      <c r="J129" s="17">
        <v>67.459999999999994</v>
      </c>
      <c r="K129" s="27">
        <v>37.26</v>
      </c>
      <c r="L129" s="17" t="s">
        <v>17</v>
      </c>
    </row>
    <row r="130" spans="1:12" x14ac:dyDescent="0.25">
      <c r="A130" s="12">
        <v>2019</v>
      </c>
      <c r="B130" s="12" t="s">
        <v>12</v>
      </c>
      <c r="C130" s="12" t="s">
        <v>13</v>
      </c>
      <c r="D130" s="12" t="s">
        <v>14</v>
      </c>
      <c r="E130" s="13">
        <v>26396</v>
      </c>
      <c r="F130" s="23">
        <v>4212951.0480000004</v>
      </c>
      <c r="G130" s="29">
        <v>1.04</v>
      </c>
      <c r="H130" s="29">
        <v>57.36</v>
      </c>
      <c r="I130" s="12">
        <v>39.549999999999997</v>
      </c>
      <c r="J130" s="12">
        <v>293.10000000000002</v>
      </c>
      <c r="K130" s="26">
        <v>55.87</v>
      </c>
      <c r="L130" s="12" t="s">
        <v>15</v>
      </c>
    </row>
    <row r="131" spans="1:12" x14ac:dyDescent="0.25">
      <c r="A131" s="17">
        <v>2019</v>
      </c>
      <c r="B131" s="17" t="s">
        <v>12</v>
      </c>
      <c r="C131" s="17" t="s">
        <v>20</v>
      </c>
      <c r="D131" s="17" t="s">
        <v>14</v>
      </c>
      <c r="E131" s="18">
        <v>7177</v>
      </c>
      <c r="F131" s="24">
        <v>21984415.829999998</v>
      </c>
      <c r="G131" s="30">
        <v>0.84</v>
      </c>
      <c r="H131" s="30">
        <v>25.7</v>
      </c>
      <c r="I131" s="17">
        <v>23.41</v>
      </c>
      <c r="J131" s="17">
        <v>105.27</v>
      </c>
      <c r="K131" s="27">
        <v>40.03</v>
      </c>
      <c r="L131" s="17" t="s">
        <v>21</v>
      </c>
    </row>
    <row r="132" spans="1:12" x14ac:dyDescent="0.25">
      <c r="A132" s="12">
        <v>2019</v>
      </c>
      <c r="B132" s="12" t="s">
        <v>36</v>
      </c>
      <c r="C132" s="12" t="s">
        <v>28</v>
      </c>
      <c r="D132" s="12" t="s">
        <v>24</v>
      </c>
      <c r="E132" s="13">
        <v>57951</v>
      </c>
      <c r="F132" s="23">
        <v>41600297.390000001</v>
      </c>
      <c r="G132" s="29">
        <v>2.72</v>
      </c>
      <c r="H132" s="29">
        <v>55.58</v>
      </c>
      <c r="I132" s="12">
        <v>17.57</v>
      </c>
      <c r="J132" s="12">
        <v>184.77</v>
      </c>
      <c r="K132" s="26">
        <v>67.900000000000006</v>
      </c>
      <c r="L132" s="12" t="s">
        <v>15</v>
      </c>
    </row>
    <row r="133" spans="1:12" x14ac:dyDescent="0.25">
      <c r="A133" s="17">
        <v>2019</v>
      </c>
      <c r="B133" s="17" t="s">
        <v>35</v>
      </c>
      <c r="C133" s="17" t="s">
        <v>18</v>
      </c>
      <c r="D133" s="17" t="s">
        <v>14</v>
      </c>
      <c r="E133" s="18">
        <v>17404</v>
      </c>
      <c r="F133" s="24">
        <v>14950208.85</v>
      </c>
      <c r="G133" s="30">
        <v>2.5099999999999998</v>
      </c>
      <c r="H133" s="30">
        <v>38.86</v>
      </c>
      <c r="I133" s="17">
        <v>36.380000000000003</v>
      </c>
      <c r="J133" s="17">
        <v>105.21</v>
      </c>
      <c r="K133" s="27">
        <v>67.78</v>
      </c>
      <c r="L133" s="17" t="s">
        <v>19</v>
      </c>
    </row>
    <row r="134" spans="1:12" x14ac:dyDescent="0.25">
      <c r="A134" s="12">
        <v>2019</v>
      </c>
      <c r="B134" s="12" t="s">
        <v>12</v>
      </c>
      <c r="C134" s="12" t="s">
        <v>16</v>
      </c>
      <c r="D134" s="12" t="s">
        <v>14</v>
      </c>
      <c r="E134" s="13">
        <v>25671</v>
      </c>
      <c r="F134" s="23">
        <v>7240265.60399999</v>
      </c>
      <c r="G134" s="29">
        <v>2.82</v>
      </c>
      <c r="H134" s="29">
        <v>85.8</v>
      </c>
      <c r="I134" s="12">
        <v>42.58</v>
      </c>
      <c r="J134" s="12">
        <v>67.459999999999994</v>
      </c>
      <c r="K134" s="26">
        <v>37.26</v>
      </c>
      <c r="L134" s="12" t="s">
        <v>17</v>
      </c>
    </row>
    <row r="135" spans="1:12" x14ac:dyDescent="0.25">
      <c r="A135" s="17">
        <v>2019</v>
      </c>
      <c r="B135" s="17" t="s">
        <v>35</v>
      </c>
      <c r="C135" s="17" t="s">
        <v>33</v>
      </c>
      <c r="D135" s="17" t="s">
        <v>24</v>
      </c>
      <c r="E135" s="18">
        <v>36613</v>
      </c>
      <c r="F135" s="24">
        <v>63070767.789999999</v>
      </c>
      <c r="G135" s="30">
        <v>3.25</v>
      </c>
      <c r="H135" s="30">
        <v>83.96</v>
      </c>
      <c r="I135" s="17">
        <v>13.22</v>
      </c>
      <c r="J135" s="17">
        <v>280.73</v>
      </c>
      <c r="K135" s="27">
        <v>75.510000000000005</v>
      </c>
      <c r="L135" s="17" t="s">
        <v>21</v>
      </c>
    </row>
    <row r="136" spans="1:12" x14ac:dyDescent="0.25">
      <c r="A136" s="12">
        <v>2019</v>
      </c>
      <c r="B136" s="12" t="s">
        <v>37</v>
      </c>
      <c r="C136" s="12" t="s">
        <v>20</v>
      </c>
      <c r="D136" s="12" t="s">
        <v>14</v>
      </c>
      <c r="E136" s="13">
        <v>8438</v>
      </c>
      <c r="F136" s="23">
        <v>35324703.520000003</v>
      </c>
      <c r="G136" s="29">
        <v>2.29</v>
      </c>
      <c r="H136" s="29">
        <v>80.900000000000006</v>
      </c>
      <c r="I136" s="12">
        <v>10.53</v>
      </c>
      <c r="J136" s="12">
        <v>80.150000000000006</v>
      </c>
      <c r="K136" s="26">
        <v>75.72</v>
      </c>
      <c r="L136" s="12" t="s">
        <v>19</v>
      </c>
    </row>
    <row r="137" spans="1:12" x14ac:dyDescent="0.25">
      <c r="A137" s="17">
        <v>2019</v>
      </c>
      <c r="B137" s="17" t="s">
        <v>12</v>
      </c>
      <c r="C137" s="17" t="s">
        <v>29</v>
      </c>
      <c r="D137" s="17" t="s">
        <v>24</v>
      </c>
      <c r="E137" s="18">
        <v>38119</v>
      </c>
      <c r="F137" s="24">
        <v>49899540.799999997</v>
      </c>
      <c r="G137" s="30">
        <v>6.84</v>
      </c>
      <c r="H137" s="30">
        <v>51.21</v>
      </c>
      <c r="I137" s="17">
        <v>38.33</v>
      </c>
      <c r="J137" s="17">
        <v>284.33</v>
      </c>
      <c r="K137" s="27">
        <v>87.01</v>
      </c>
      <c r="L137" s="17" t="s">
        <v>17</v>
      </c>
    </row>
    <row r="138" spans="1:12" x14ac:dyDescent="0.25">
      <c r="A138" s="12">
        <v>2019</v>
      </c>
      <c r="B138" s="12" t="s">
        <v>36</v>
      </c>
      <c r="C138" s="12" t="s">
        <v>33</v>
      </c>
      <c r="D138" s="12" t="s">
        <v>24</v>
      </c>
      <c r="E138" s="13">
        <v>18284</v>
      </c>
      <c r="F138" s="23">
        <v>26788292.559999999</v>
      </c>
      <c r="G138" s="29">
        <v>6.45</v>
      </c>
      <c r="H138" s="29">
        <v>80</v>
      </c>
      <c r="I138" s="12">
        <v>23.63</v>
      </c>
      <c r="J138" s="12">
        <v>137.72999999999999</v>
      </c>
      <c r="K138" s="26">
        <v>81.319999999999993</v>
      </c>
      <c r="L138" s="12" t="s">
        <v>17</v>
      </c>
    </row>
    <row r="139" spans="1:12" x14ac:dyDescent="0.25">
      <c r="A139" s="17">
        <v>2019</v>
      </c>
      <c r="B139" s="17" t="s">
        <v>35</v>
      </c>
      <c r="C139" s="17" t="s">
        <v>29</v>
      </c>
      <c r="D139" s="17" t="s">
        <v>24</v>
      </c>
      <c r="E139" s="18">
        <v>31105</v>
      </c>
      <c r="F139" s="24">
        <v>12818738.02</v>
      </c>
      <c r="G139" s="30">
        <v>4.7699999999999996</v>
      </c>
      <c r="H139" s="30">
        <v>93.04</v>
      </c>
      <c r="I139" s="17">
        <v>20.52</v>
      </c>
      <c r="J139" s="17">
        <v>110.55</v>
      </c>
      <c r="K139" s="27">
        <v>73.069999999999993</v>
      </c>
      <c r="L139" s="17" t="s">
        <v>21</v>
      </c>
    </row>
    <row r="140" spans="1:12" x14ac:dyDescent="0.25">
      <c r="A140" s="12">
        <v>2019</v>
      </c>
      <c r="B140" s="12" t="s">
        <v>35</v>
      </c>
      <c r="C140" s="12" t="s">
        <v>33</v>
      </c>
      <c r="D140" s="12" t="s">
        <v>24</v>
      </c>
      <c r="E140" s="13">
        <v>36613</v>
      </c>
      <c r="F140" s="23">
        <v>63070767.789999999</v>
      </c>
      <c r="G140" s="29">
        <v>3.25</v>
      </c>
      <c r="H140" s="29">
        <v>83.96</v>
      </c>
      <c r="I140" s="12">
        <v>13.22</v>
      </c>
      <c r="J140" s="12">
        <v>280.73</v>
      </c>
      <c r="K140" s="26">
        <v>75.510000000000005</v>
      </c>
      <c r="L140" s="12" t="s">
        <v>21</v>
      </c>
    </row>
    <row r="141" spans="1:12" x14ac:dyDescent="0.25">
      <c r="A141" s="17">
        <v>2019</v>
      </c>
      <c r="B141" s="17" t="s">
        <v>36</v>
      </c>
      <c r="C141" s="17" t="s">
        <v>20</v>
      </c>
      <c r="D141" s="17" t="s">
        <v>14</v>
      </c>
      <c r="E141" s="18">
        <v>12535</v>
      </c>
      <c r="F141" s="24">
        <v>28466176.109999999</v>
      </c>
      <c r="G141" s="30">
        <v>2.09</v>
      </c>
      <c r="H141" s="30">
        <v>55.61</v>
      </c>
      <c r="I141" s="17">
        <v>31.12</v>
      </c>
      <c r="J141" s="17">
        <v>111.28</v>
      </c>
      <c r="K141" s="27">
        <v>47.14</v>
      </c>
      <c r="L141" s="17" t="s">
        <v>17</v>
      </c>
    </row>
    <row r="142" spans="1:12" x14ac:dyDescent="0.25">
      <c r="A142" s="12">
        <v>2019</v>
      </c>
      <c r="B142" s="12" t="s">
        <v>36</v>
      </c>
      <c r="C142" s="12" t="s">
        <v>22</v>
      </c>
      <c r="D142" s="12" t="s">
        <v>14</v>
      </c>
      <c r="E142" s="13">
        <v>20683</v>
      </c>
      <c r="F142" s="23">
        <v>15828498.960000001</v>
      </c>
      <c r="G142" s="29">
        <v>0.34</v>
      </c>
      <c r="H142" s="29">
        <v>30.32</v>
      </c>
      <c r="I142" s="12">
        <v>-0.65</v>
      </c>
      <c r="J142" s="12">
        <v>239.67</v>
      </c>
      <c r="K142" s="26">
        <v>46.13</v>
      </c>
      <c r="L142" s="12" t="s">
        <v>27</v>
      </c>
    </row>
    <row r="143" spans="1:12" x14ac:dyDescent="0.25">
      <c r="A143" s="17">
        <v>2019</v>
      </c>
      <c r="B143" s="17" t="s">
        <v>36</v>
      </c>
      <c r="C143" s="17" t="s">
        <v>13</v>
      </c>
      <c r="D143" s="17" t="s">
        <v>14</v>
      </c>
      <c r="E143" s="18">
        <v>27112</v>
      </c>
      <c r="F143" s="24">
        <v>27051337.739999998</v>
      </c>
      <c r="G143" s="30">
        <v>3.78</v>
      </c>
      <c r="H143" s="30">
        <v>61.35</v>
      </c>
      <c r="I143" s="17">
        <v>47.48</v>
      </c>
      <c r="J143" s="17">
        <v>152</v>
      </c>
      <c r="K143" s="27">
        <v>50.23</v>
      </c>
      <c r="L143" s="17" t="s">
        <v>21</v>
      </c>
    </row>
    <row r="144" spans="1:12" x14ac:dyDescent="0.25">
      <c r="A144" s="12">
        <v>2019</v>
      </c>
      <c r="B144" s="12" t="s">
        <v>12</v>
      </c>
      <c r="C144" s="12" t="s">
        <v>29</v>
      </c>
      <c r="D144" s="12" t="s">
        <v>24</v>
      </c>
      <c r="E144" s="13">
        <v>38119</v>
      </c>
      <c r="F144" s="23">
        <v>49899540.799999997</v>
      </c>
      <c r="G144" s="29">
        <v>6.84</v>
      </c>
      <c r="H144" s="29">
        <v>51.21</v>
      </c>
      <c r="I144" s="12">
        <v>38.33</v>
      </c>
      <c r="J144" s="12">
        <v>284.33</v>
      </c>
      <c r="K144" s="26">
        <v>87.01</v>
      </c>
      <c r="L144" s="12" t="s">
        <v>17</v>
      </c>
    </row>
    <row r="145" spans="1:12" x14ac:dyDescent="0.25">
      <c r="A145" s="17">
        <v>2019</v>
      </c>
      <c r="B145" s="17" t="s">
        <v>37</v>
      </c>
      <c r="C145" s="17" t="s">
        <v>18</v>
      </c>
      <c r="D145" s="17" t="s">
        <v>14</v>
      </c>
      <c r="E145" s="18">
        <v>46113</v>
      </c>
      <c r="F145" s="24">
        <v>23485210.48</v>
      </c>
      <c r="G145" s="30">
        <v>1.89</v>
      </c>
      <c r="H145" s="30">
        <v>69.900000000000006</v>
      </c>
      <c r="I145" s="17">
        <v>13.34</v>
      </c>
      <c r="J145" s="17">
        <v>167.31</v>
      </c>
      <c r="K145" s="27">
        <v>45.48</v>
      </c>
      <c r="L145" s="17" t="s">
        <v>27</v>
      </c>
    </row>
    <row r="146" spans="1:12" x14ac:dyDescent="0.25">
      <c r="A146" s="12">
        <v>2019</v>
      </c>
      <c r="B146" s="12" t="s">
        <v>35</v>
      </c>
      <c r="C146" s="12" t="s">
        <v>34</v>
      </c>
      <c r="D146" s="12" t="s">
        <v>24</v>
      </c>
      <c r="E146" s="13">
        <v>12030</v>
      </c>
      <c r="F146" s="23">
        <v>33549565.920000002</v>
      </c>
      <c r="G146" s="29">
        <v>5.82</v>
      </c>
      <c r="H146" s="29">
        <v>48.62</v>
      </c>
      <c r="I146" s="12">
        <v>36.32</v>
      </c>
      <c r="J146" s="12">
        <v>227.63</v>
      </c>
      <c r="K146" s="26">
        <v>91.79</v>
      </c>
      <c r="L146" s="12" t="s">
        <v>17</v>
      </c>
    </row>
    <row r="147" spans="1:12" x14ac:dyDescent="0.25">
      <c r="A147" s="17">
        <v>2019</v>
      </c>
      <c r="B147" s="17" t="s">
        <v>12</v>
      </c>
      <c r="C147" s="17" t="s">
        <v>31</v>
      </c>
      <c r="D147" s="17" t="s">
        <v>24</v>
      </c>
      <c r="E147" s="18">
        <v>19643</v>
      </c>
      <c r="F147" s="24">
        <v>36029498.520000003</v>
      </c>
      <c r="G147" s="30">
        <v>5.67</v>
      </c>
      <c r="H147" s="30">
        <v>76.62</v>
      </c>
      <c r="I147" s="17">
        <v>22.84</v>
      </c>
      <c r="J147" s="17">
        <v>220.82</v>
      </c>
      <c r="K147" s="27">
        <v>88.16</v>
      </c>
      <c r="L147" s="17" t="s">
        <v>15</v>
      </c>
    </row>
    <row r="148" spans="1:12" x14ac:dyDescent="0.25">
      <c r="A148" s="12">
        <v>2019</v>
      </c>
      <c r="B148" s="12" t="s">
        <v>12</v>
      </c>
      <c r="C148" s="12" t="s">
        <v>16</v>
      </c>
      <c r="D148" s="12" t="s">
        <v>14</v>
      </c>
      <c r="E148" s="13">
        <v>25671</v>
      </c>
      <c r="F148" s="23">
        <v>7240265.60399999</v>
      </c>
      <c r="G148" s="29">
        <v>2.82</v>
      </c>
      <c r="H148" s="29">
        <v>85.8</v>
      </c>
      <c r="I148" s="12">
        <v>42.58</v>
      </c>
      <c r="J148" s="12">
        <v>67.459999999999994</v>
      </c>
      <c r="K148" s="26">
        <v>37.26</v>
      </c>
      <c r="L148" s="12" t="s">
        <v>17</v>
      </c>
    </row>
    <row r="149" spans="1:12" x14ac:dyDescent="0.25">
      <c r="A149" s="17">
        <v>2019</v>
      </c>
      <c r="B149" s="17" t="s">
        <v>12</v>
      </c>
      <c r="C149" s="17" t="s">
        <v>28</v>
      </c>
      <c r="D149" s="17" t="s">
        <v>24</v>
      </c>
      <c r="E149" s="18">
        <v>40641</v>
      </c>
      <c r="F149" s="24">
        <v>51959555.759999998</v>
      </c>
      <c r="G149" s="30">
        <v>2.64</v>
      </c>
      <c r="H149" s="30">
        <v>44.77</v>
      </c>
      <c r="I149" s="17">
        <v>31.27</v>
      </c>
      <c r="J149" s="17">
        <v>151.18</v>
      </c>
      <c r="K149" s="27">
        <v>66.509999999999906</v>
      </c>
      <c r="L149" s="17" t="s">
        <v>21</v>
      </c>
    </row>
    <row r="150" spans="1:12" x14ac:dyDescent="0.25">
      <c r="A150" s="12">
        <v>2019</v>
      </c>
      <c r="B150" s="12" t="s">
        <v>37</v>
      </c>
      <c r="C150" s="12" t="s">
        <v>23</v>
      </c>
      <c r="D150" s="12" t="s">
        <v>24</v>
      </c>
      <c r="E150" s="13">
        <v>40164</v>
      </c>
      <c r="F150" s="23">
        <v>21739755.84</v>
      </c>
      <c r="G150" s="29">
        <v>3.76</v>
      </c>
      <c r="H150" s="29">
        <v>50.13</v>
      </c>
      <c r="I150" s="12">
        <v>13.99</v>
      </c>
      <c r="J150" s="12">
        <v>210.05</v>
      </c>
      <c r="K150" s="26">
        <v>58.83</v>
      </c>
      <c r="L150" s="12" t="s">
        <v>17</v>
      </c>
    </row>
    <row r="151" spans="1:12" x14ac:dyDescent="0.25">
      <c r="A151" s="17">
        <v>2019</v>
      </c>
      <c r="B151" s="17" t="s">
        <v>12</v>
      </c>
      <c r="C151" s="17" t="s">
        <v>26</v>
      </c>
      <c r="D151" s="17" t="s">
        <v>24</v>
      </c>
      <c r="E151" s="18">
        <v>58711</v>
      </c>
      <c r="F151" s="24">
        <v>70175779.069999993</v>
      </c>
      <c r="G151" s="30">
        <v>4.92</v>
      </c>
      <c r="H151" s="30">
        <v>79.95</v>
      </c>
      <c r="I151" s="17">
        <v>49.7</v>
      </c>
      <c r="J151" s="17">
        <v>191.42</v>
      </c>
      <c r="K151" s="27">
        <v>74.83</v>
      </c>
      <c r="L151" s="17" t="s">
        <v>27</v>
      </c>
    </row>
    <row r="152" spans="1:12" x14ac:dyDescent="0.25">
      <c r="A152" s="12">
        <v>2019</v>
      </c>
      <c r="B152" s="12" t="s">
        <v>35</v>
      </c>
      <c r="C152" s="12" t="s">
        <v>29</v>
      </c>
      <c r="D152" s="12" t="s">
        <v>24</v>
      </c>
      <c r="E152" s="13">
        <v>31105</v>
      </c>
      <c r="F152" s="23">
        <v>12818738.02</v>
      </c>
      <c r="G152" s="29">
        <v>4.7699999999999996</v>
      </c>
      <c r="H152" s="29">
        <v>93.04</v>
      </c>
      <c r="I152" s="12">
        <v>20.52</v>
      </c>
      <c r="J152" s="12">
        <v>110.55</v>
      </c>
      <c r="K152" s="26">
        <v>73.069999999999993</v>
      </c>
      <c r="L152" s="12" t="s">
        <v>21</v>
      </c>
    </row>
    <row r="153" spans="1:12" x14ac:dyDescent="0.25">
      <c r="A153" s="17">
        <v>2019</v>
      </c>
      <c r="B153" s="17" t="s">
        <v>12</v>
      </c>
      <c r="C153" s="17" t="s">
        <v>31</v>
      </c>
      <c r="D153" s="17" t="s">
        <v>24</v>
      </c>
      <c r="E153" s="18">
        <v>19643</v>
      </c>
      <c r="F153" s="24">
        <v>36029498.520000003</v>
      </c>
      <c r="G153" s="30">
        <v>5.67</v>
      </c>
      <c r="H153" s="30">
        <v>76.62</v>
      </c>
      <c r="I153" s="17">
        <v>22.84</v>
      </c>
      <c r="J153" s="17">
        <v>220.82</v>
      </c>
      <c r="K153" s="27">
        <v>88.16</v>
      </c>
      <c r="L153" s="17" t="s">
        <v>15</v>
      </c>
    </row>
    <row r="154" spans="1:12" x14ac:dyDescent="0.25">
      <c r="A154" s="12">
        <v>2019</v>
      </c>
      <c r="B154" s="12" t="s">
        <v>12</v>
      </c>
      <c r="C154" s="12" t="s">
        <v>26</v>
      </c>
      <c r="D154" s="12" t="s">
        <v>24</v>
      </c>
      <c r="E154" s="13">
        <v>58711</v>
      </c>
      <c r="F154" s="23">
        <v>70175779.069999993</v>
      </c>
      <c r="G154" s="29">
        <v>4.92</v>
      </c>
      <c r="H154" s="29">
        <v>79.95</v>
      </c>
      <c r="I154" s="12">
        <v>49.7</v>
      </c>
      <c r="J154" s="12">
        <v>191.42</v>
      </c>
      <c r="K154" s="26">
        <v>74.83</v>
      </c>
      <c r="L154" s="12" t="s">
        <v>27</v>
      </c>
    </row>
    <row r="155" spans="1:12" x14ac:dyDescent="0.25">
      <c r="A155" s="17">
        <v>2019</v>
      </c>
      <c r="B155" s="17" t="s">
        <v>36</v>
      </c>
      <c r="C155" s="17" t="s">
        <v>32</v>
      </c>
      <c r="D155" s="17" t="s">
        <v>24</v>
      </c>
      <c r="E155" s="18">
        <v>30819</v>
      </c>
      <c r="F155" s="24">
        <v>60274563.340000004</v>
      </c>
      <c r="G155" s="30">
        <v>3.44</v>
      </c>
      <c r="H155" s="30">
        <v>41.17</v>
      </c>
      <c r="I155" s="17">
        <v>26.42</v>
      </c>
      <c r="J155" s="17">
        <v>199.68</v>
      </c>
      <c r="K155" s="27">
        <v>61.6</v>
      </c>
      <c r="L155" s="17" t="s">
        <v>21</v>
      </c>
    </row>
    <row r="156" spans="1:12" x14ac:dyDescent="0.25">
      <c r="A156" s="12">
        <v>2019</v>
      </c>
      <c r="B156" s="12" t="s">
        <v>36</v>
      </c>
      <c r="C156" s="12" t="s">
        <v>13</v>
      </c>
      <c r="D156" s="12" t="s">
        <v>14</v>
      </c>
      <c r="E156" s="13">
        <v>27112</v>
      </c>
      <c r="F156" s="23">
        <v>27051337.739999998</v>
      </c>
      <c r="G156" s="29">
        <v>3.78</v>
      </c>
      <c r="H156" s="29">
        <v>61.35</v>
      </c>
      <c r="I156" s="12">
        <v>47.48</v>
      </c>
      <c r="J156" s="12">
        <v>152</v>
      </c>
      <c r="K156" s="26">
        <v>50.23</v>
      </c>
      <c r="L156" s="12" t="s">
        <v>21</v>
      </c>
    </row>
    <row r="157" spans="1:12" x14ac:dyDescent="0.25">
      <c r="A157" s="17">
        <v>2019</v>
      </c>
      <c r="B157" s="17" t="s">
        <v>36</v>
      </c>
      <c r="C157" s="17" t="s">
        <v>16</v>
      </c>
      <c r="D157" s="17" t="s">
        <v>14</v>
      </c>
      <c r="E157" s="18">
        <v>28788</v>
      </c>
      <c r="F157" s="24">
        <v>10130230.560000001</v>
      </c>
      <c r="G157" s="30">
        <v>1.38</v>
      </c>
      <c r="H157" s="30">
        <v>25.88</v>
      </c>
      <c r="I157" s="17">
        <v>6.92</v>
      </c>
      <c r="J157" s="17">
        <v>129.04</v>
      </c>
      <c r="K157" s="27">
        <v>46.41</v>
      </c>
      <c r="L157" s="17" t="s">
        <v>19</v>
      </c>
    </row>
    <row r="158" spans="1:12" x14ac:dyDescent="0.25">
      <c r="A158" s="12">
        <v>2019</v>
      </c>
      <c r="B158" s="12" t="s">
        <v>35</v>
      </c>
      <c r="C158" s="12" t="s">
        <v>31</v>
      </c>
      <c r="D158" s="12" t="s">
        <v>24</v>
      </c>
      <c r="E158" s="13">
        <v>8422</v>
      </c>
      <c r="F158" s="23">
        <v>11292488.050000001</v>
      </c>
      <c r="G158" s="29">
        <v>6</v>
      </c>
      <c r="H158" s="29">
        <v>55.76</v>
      </c>
      <c r="I158" s="12">
        <v>30.55</v>
      </c>
      <c r="J158" s="12">
        <v>170.31</v>
      </c>
      <c r="K158" s="26">
        <v>78.44</v>
      </c>
      <c r="L158" s="12" t="s">
        <v>17</v>
      </c>
    </row>
    <row r="159" spans="1:12" x14ac:dyDescent="0.25">
      <c r="A159" s="17">
        <v>2019</v>
      </c>
      <c r="B159" s="17" t="s">
        <v>36</v>
      </c>
      <c r="C159" s="17" t="s">
        <v>22</v>
      </c>
      <c r="D159" s="17" t="s">
        <v>14</v>
      </c>
      <c r="E159" s="18">
        <v>20683</v>
      </c>
      <c r="F159" s="24">
        <v>15828498.960000001</v>
      </c>
      <c r="G159" s="30">
        <v>0.34</v>
      </c>
      <c r="H159" s="30">
        <v>30.32</v>
      </c>
      <c r="I159" s="17">
        <v>-0.65</v>
      </c>
      <c r="J159" s="17">
        <v>239.67</v>
      </c>
      <c r="K159" s="27">
        <v>46.13</v>
      </c>
      <c r="L159" s="17" t="s">
        <v>27</v>
      </c>
    </row>
    <row r="160" spans="1:12" x14ac:dyDescent="0.25">
      <c r="A160" s="12">
        <v>2019</v>
      </c>
      <c r="B160" s="12" t="s">
        <v>12</v>
      </c>
      <c r="C160" s="12" t="s">
        <v>18</v>
      </c>
      <c r="D160" s="12" t="s">
        <v>14</v>
      </c>
      <c r="E160" s="13">
        <v>16573</v>
      </c>
      <c r="F160" s="23">
        <v>25608331.510000002</v>
      </c>
      <c r="G160" s="29">
        <v>-0.03</v>
      </c>
      <c r="H160" s="29">
        <v>47.02</v>
      </c>
      <c r="I160" s="12">
        <v>3.78</v>
      </c>
      <c r="J160" s="12">
        <v>77.25</v>
      </c>
      <c r="K160" s="26">
        <v>84.66</v>
      </c>
      <c r="L160" s="12" t="s">
        <v>19</v>
      </c>
    </row>
    <row r="161" spans="1:12" x14ac:dyDescent="0.25">
      <c r="A161" s="17">
        <v>2019</v>
      </c>
      <c r="B161" s="17" t="s">
        <v>35</v>
      </c>
      <c r="C161" s="17" t="s">
        <v>30</v>
      </c>
      <c r="D161" s="17" t="s">
        <v>24</v>
      </c>
      <c r="E161" s="18">
        <v>24185</v>
      </c>
      <c r="F161" s="24">
        <v>52192972.549999997</v>
      </c>
      <c r="G161" s="30">
        <v>2.95</v>
      </c>
      <c r="H161" s="30">
        <v>40.549999999999997</v>
      </c>
      <c r="I161" s="17">
        <v>46.73</v>
      </c>
      <c r="J161" s="17">
        <v>200.47</v>
      </c>
      <c r="K161" s="27">
        <v>83.06</v>
      </c>
      <c r="L161" s="17" t="s">
        <v>19</v>
      </c>
    </row>
    <row r="162" spans="1:12" x14ac:dyDescent="0.25">
      <c r="A162" s="12">
        <v>2019</v>
      </c>
      <c r="B162" s="12" t="s">
        <v>35</v>
      </c>
      <c r="C162" s="12" t="s">
        <v>33</v>
      </c>
      <c r="D162" s="12" t="s">
        <v>24</v>
      </c>
      <c r="E162" s="13">
        <v>36613</v>
      </c>
      <c r="F162" s="23">
        <v>63070767.789999999</v>
      </c>
      <c r="G162" s="29">
        <v>3.25</v>
      </c>
      <c r="H162" s="29">
        <v>83.96</v>
      </c>
      <c r="I162" s="12">
        <v>13.22</v>
      </c>
      <c r="J162" s="12">
        <v>280.73</v>
      </c>
      <c r="K162" s="26">
        <v>75.510000000000005</v>
      </c>
      <c r="L162" s="12" t="s">
        <v>21</v>
      </c>
    </row>
    <row r="163" spans="1:12" x14ac:dyDescent="0.25">
      <c r="A163" s="17">
        <v>2019</v>
      </c>
      <c r="B163" s="17" t="s">
        <v>12</v>
      </c>
      <c r="C163" s="17" t="s">
        <v>30</v>
      </c>
      <c r="D163" s="17" t="s">
        <v>24</v>
      </c>
      <c r="E163" s="18">
        <v>36255</v>
      </c>
      <c r="F163" s="24">
        <v>12091673.939999999</v>
      </c>
      <c r="G163" s="30">
        <v>4.66</v>
      </c>
      <c r="H163" s="30">
        <v>56.5</v>
      </c>
      <c r="I163" s="17">
        <v>9.77</v>
      </c>
      <c r="J163" s="17">
        <v>81.430000000000007</v>
      </c>
      <c r="K163" s="27">
        <v>85.88</v>
      </c>
      <c r="L163" s="17" t="s">
        <v>19</v>
      </c>
    </row>
    <row r="164" spans="1:12" x14ac:dyDescent="0.25">
      <c r="A164" s="12">
        <v>2019</v>
      </c>
      <c r="B164" s="12" t="s">
        <v>12</v>
      </c>
      <c r="C164" s="12" t="s">
        <v>29</v>
      </c>
      <c r="D164" s="12" t="s">
        <v>24</v>
      </c>
      <c r="E164" s="13">
        <v>38119</v>
      </c>
      <c r="F164" s="23">
        <v>49899540.799999997</v>
      </c>
      <c r="G164" s="29">
        <v>6.84</v>
      </c>
      <c r="H164" s="29">
        <v>51.21</v>
      </c>
      <c r="I164" s="12">
        <v>38.33</v>
      </c>
      <c r="J164" s="12">
        <v>284.33</v>
      </c>
      <c r="K164" s="26">
        <v>87.01</v>
      </c>
      <c r="L164" s="12" t="s">
        <v>17</v>
      </c>
    </row>
    <row r="165" spans="1:12" x14ac:dyDescent="0.25">
      <c r="A165" s="17">
        <v>2019</v>
      </c>
      <c r="B165" s="17" t="s">
        <v>12</v>
      </c>
      <c r="C165" s="17" t="s">
        <v>30</v>
      </c>
      <c r="D165" s="17" t="s">
        <v>24</v>
      </c>
      <c r="E165" s="18">
        <v>36255</v>
      </c>
      <c r="F165" s="24">
        <v>12091673.939999999</v>
      </c>
      <c r="G165" s="30">
        <v>4.66</v>
      </c>
      <c r="H165" s="30">
        <v>56.5</v>
      </c>
      <c r="I165" s="17">
        <v>9.77</v>
      </c>
      <c r="J165" s="17">
        <v>81.430000000000007</v>
      </c>
      <c r="K165" s="27">
        <v>85.88</v>
      </c>
      <c r="L165" s="17" t="s">
        <v>19</v>
      </c>
    </row>
    <row r="166" spans="1:12" x14ac:dyDescent="0.25">
      <c r="A166" s="12">
        <v>2019</v>
      </c>
      <c r="B166" s="12" t="s">
        <v>37</v>
      </c>
      <c r="C166" s="12" t="s">
        <v>13</v>
      </c>
      <c r="D166" s="12" t="s">
        <v>14</v>
      </c>
      <c r="E166" s="13">
        <v>30040</v>
      </c>
      <c r="F166" s="23">
        <v>34166065.189999998</v>
      </c>
      <c r="G166" s="29">
        <v>1.5699999999999901</v>
      </c>
      <c r="H166" s="29">
        <v>28.49</v>
      </c>
      <c r="I166" s="12">
        <v>47.01</v>
      </c>
      <c r="J166" s="12">
        <v>243.47</v>
      </c>
      <c r="K166" s="26">
        <v>58.24</v>
      </c>
      <c r="L166" s="12" t="s">
        <v>21</v>
      </c>
    </row>
    <row r="167" spans="1:12" x14ac:dyDescent="0.25">
      <c r="A167" s="17">
        <v>2019</v>
      </c>
      <c r="B167" s="17" t="s">
        <v>35</v>
      </c>
      <c r="C167" s="17" t="s">
        <v>16</v>
      </c>
      <c r="D167" s="17" t="s">
        <v>14</v>
      </c>
      <c r="E167" s="18">
        <v>38253</v>
      </c>
      <c r="F167" s="24">
        <v>53195937.002999999</v>
      </c>
      <c r="G167" s="30">
        <v>-0.05</v>
      </c>
      <c r="H167" s="30">
        <v>76.73</v>
      </c>
      <c r="I167" s="17">
        <v>31.96</v>
      </c>
      <c r="J167" s="17">
        <v>273.85000000000002</v>
      </c>
      <c r="K167" s="27">
        <v>38.28</v>
      </c>
      <c r="L167" s="17" t="s">
        <v>19</v>
      </c>
    </row>
    <row r="168" spans="1:12" x14ac:dyDescent="0.25">
      <c r="A168" s="12">
        <v>2019</v>
      </c>
      <c r="B168" s="12" t="s">
        <v>12</v>
      </c>
      <c r="C168" s="12" t="s">
        <v>32</v>
      </c>
      <c r="D168" s="12" t="s">
        <v>24</v>
      </c>
      <c r="E168" s="13">
        <v>12612</v>
      </c>
      <c r="F168" s="23">
        <v>57161551.82</v>
      </c>
      <c r="G168" s="29">
        <v>3.24</v>
      </c>
      <c r="H168" s="29">
        <v>64.479999999999905</v>
      </c>
      <c r="I168" s="12">
        <v>14.98</v>
      </c>
      <c r="J168" s="12">
        <v>161.49</v>
      </c>
      <c r="K168" s="26">
        <v>85.67</v>
      </c>
      <c r="L168" s="12" t="s">
        <v>19</v>
      </c>
    </row>
    <row r="169" spans="1:12" x14ac:dyDescent="0.25">
      <c r="A169" s="17">
        <v>2019</v>
      </c>
      <c r="B169" s="17" t="s">
        <v>36</v>
      </c>
      <c r="C169" s="17" t="s">
        <v>34</v>
      </c>
      <c r="D169" s="17" t="s">
        <v>24</v>
      </c>
      <c r="E169" s="18">
        <v>48617</v>
      </c>
      <c r="F169" s="24">
        <v>6134803.4639999997</v>
      </c>
      <c r="G169" s="30">
        <v>6.48</v>
      </c>
      <c r="H169" s="30">
        <v>91.79</v>
      </c>
      <c r="I169" s="17">
        <v>54.94</v>
      </c>
      <c r="J169" s="17">
        <v>88.28</v>
      </c>
      <c r="K169" s="27">
        <v>82.55</v>
      </c>
      <c r="L169" s="17" t="s">
        <v>17</v>
      </c>
    </row>
    <row r="170" spans="1:12" x14ac:dyDescent="0.25">
      <c r="A170" s="12">
        <v>2019</v>
      </c>
      <c r="B170" s="12" t="s">
        <v>37</v>
      </c>
      <c r="C170" s="12" t="s">
        <v>25</v>
      </c>
      <c r="D170" s="12" t="s">
        <v>24</v>
      </c>
      <c r="E170" s="13">
        <v>53367</v>
      </c>
      <c r="F170" s="23">
        <v>69827344.420000002</v>
      </c>
      <c r="G170" s="29">
        <v>6.1</v>
      </c>
      <c r="H170" s="29">
        <v>95.93</v>
      </c>
      <c r="I170" s="12">
        <v>47.57</v>
      </c>
      <c r="J170" s="12">
        <v>185.7</v>
      </c>
      <c r="K170" s="26">
        <v>93.45</v>
      </c>
      <c r="L170" s="12" t="s">
        <v>21</v>
      </c>
    </row>
    <row r="171" spans="1:12" x14ac:dyDescent="0.25">
      <c r="A171" s="17">
        <v>2019</v>
      </c>
      <c r="B171" s="17" t="s">
        <v>36</v>
      </c>
      <c r="C171" s="17" t="s">
        <v>26</v>
      </c>
      <c r="D171" s="17" t="s">
        <v>24</v>
      </c>
      <c r="E171" s="18">
        <v>6542</v>
      </c>
      <c r="F171" s="24">
        <v>13222480.68</v>
      </c>
      <c r="G171" s="30">
        <v>3.5</v>
      </c>
      <c r="H171" s="30">
        <v>88.84</v>
      </c>
      <c r="I171" s="17">
        <v>26.74</v>
      </c>
      <c r="J171" s="17">
        <v>115.63</v>
      </c>
      <c r="K171" s="27">
        <v>54.75</v>
      </c>
      <c r="L171" s="17" t="s">
        <v>15</v>
      </c>
    </row>
    <row r="172" spans="1:12" x14ac:dyDescent="0.25">
      <c r="A172" s="12">
        <v>2019</v>
      </c>
      <c r="B172" s="12" t="s">
        <v>12</v>
      </c>
      <c r="C172" s="12" t="s">
        <v>30</v>
      </c>
      <c r="D172" s="12" t="s">
        <v>24</v>
      </c>
      <c r="E172" s="13">
        <v>36255</v>
      </c>
      <c r="F172" s="23">
        <v>12091673.939999999</v>
      </c>
      <c r="G172" s="29">
        <v>4.66</v>
      </c>
      <c r="H172" s="29">
        <v>56.5</v>
      </c>
      <c r="I172" s="12">
        <v>9.77</v>
      </c>
      <c r="J172" s="12">
        <v>81.430000000000007</v>
      </c>
      <c r="K172" s="26">
        <v>85.88</v>
      </c>
      <c r="L172" s="12" t="s">
        <v>19</v>
      </c>
    </row>
    <row r="173" spans="1:12" x14ac:dyDescent="0.25">
      <c r="A173" s="17">
        <v>2019</v>
      </c>
      <c r="B173" s="17" t="s">
        <v>37</v>
      </c>
      <c r="C173" s="17" t="s">
        <v>29</v>
      </c>
      <c r="D173" s="17" t="s">
        <v>24</v>
      </c>
      <c r="E173" s="18">
        <v>34541</v>
      </c>
      <c r="F173" s="24">
        <v>23308775.82</v>
      </c>
      <c r="G173" s="30">
        <v>4.0299999999999896</v>
      </c>
      <c r="H173" s="30">
        <v>59.35</v>
      </c>
      <c r="I173" s="17">
        <v>8.3699999999999992</v>
      </c>
      <c r="J173" s="17">
        <v>138.66999999999999</v>
      </c>
      <c r="K173" s="27">
        <v>80.349999999999994</v>
      </c>
      <c r="L173" s="17" t="s">
        <v>17</v>
      </c>
    </row>
    <row r="174" spans="1:12" x14ac:dyDescent="0.25">
      <c r="A174" s="12">
        <v>2019</v>
      </c>
      <c r="B174" s="12" t="s">
        <v>37</v>
      </c>
      <c r="C174" s="12" t="s">
        <v>30</v>
      </c>
      <c r="D174" s="12" t="s">
        <v>24</v>
      </c>
      <c r="E174" s="13">
        <v>6719</v>
      </c>
      <c r="F174" s="23">
        <v>38311286.359999999</v>
      </c>
      <c r="G174" s="29">
        <v>5.38</v>
      </c>
      <c r="H174" s="29">
        <v>42.55</v>
      </c>
      <c r="I174" s="12">
        <v>50.32</v>
      </c>
      <c r="J174" s="12">
        <v>110.97</v>
      </c>
      <c r="K174" s="26">
        <v>87.8</v>
      </c>
      <c r="L174" s="12" t="s">
        <v>15</v>
      </c>
    </row>
    <row r="175" spans="1:12" x14ac:dyDescent="0.25">
      <c r="A175" s="17">
        <v>2020</v>
      </c>
      <c r="B175" s="17" t="s">
        <v>12</v>
      </c>
      <c r="C175" s="17" t="s">
        <v>13</v>
      </c>
      <c r="D175" s="17" t="s">
        <v>14</v>
      </c>
      <c r="E175" s="18">
        <v>17825</v>
      </c>
      <c r="F175" s="24">
        <v>37347187.770000003</v>
      </c>
      <c r="G175" s="30">
        <v>0.159999999999999</v>
      </c>
      <c r="H175" s="30">
        <v>62.97</v>
      </c>
      <c r="I175" s="17">
        <v>26.44</v>
      </c>
      <c r="J175" s="17">
        <v>245.48</v>
      </c>
      <c r="K175" s="27">
        <v>75.23</v>
      </c>
      <c r="L175" s="17" t="s">
        <v>27</v>
      </c>
    </row>
    <row r="176" spans="1:12" x14ac:dyDescent="0.25">
      <c r="A176" s="12">
        <v>2020</v>
      </c>
      <c r="B176" s="12" t="s">
        <v>12</v>
      </c>
      <c r="C176" s="12" t="s">
        <v>16</v>
      </c>
      <c r="D176" s="12" t="s">
        <v>14</v>
      </c>
      <c r="E176" s="13">
        <v>21472</v>
      </c>
      <c r="F176" s="23">
        <v>34965645.310000002</v>
      </c>
      <c r="G176" s="29">
        <v>0.25</v>
      </c>
      <c r="H176" s="29">
        <v>49.22</v>
      </c>
      <c r="I176" s="12">
        <v>24.99</v>
      </c>
      <c r="J176" s="12">
        <v>247.01</v>
      </c>
      <c r="K176" s="26">
        <v>80.17</v>
      </c>
      <c r="L176" s="12" t="s">
        <v>17</v>
      </c>
    </row>
    <row r="177" spans="1:12" x14ac:dyDescent="0.25">
      <c r="A177" s="17">
        <v>2020</v>
      </c>
      <c r="B177" s="17" t="s">
        <v>12</v>
      </c>
      <c r="C177" s="17" t="s">
        <v>18</v>
      </c>
      <c r="D177" s="17" t="s">
        <v>14</v>
      </c>
      <c r="E177" s="18">
        <v>35641</v>
      </c>
      <c r="F177" s="24">
        <v>48775290.390000001</v>
      </c>
      <c r="G177" s="30">
        <v>3.88</v>
      </c>
      <c r="H177" s="30">
        <v>60.51</v>
      </c>
      <c r="I177" s="17">
        <v>6.1</v>
      </c>
      <c r="J177" s="17">
        <v>196.59</v>
      </c>
      <c r="K177" s="27">
        <v>78.94</v>
      </c>
      <c r="L177" s="17" t="s">
        <v>21</v>
      </c>
    </row>
    <row r="178" spans="1:12" x14ac:dyDescent="0.25">
      <c r="A178" s="12">
        <v>2020</v>
      </c>
      <c r="B178" s="12" t="s">
        <v>12</v>
      </c>
      <c r="C178" s="12" t="s">
        <v>20</v>
      </c>
      <c r="D178" s="12" t="s">
        <v>14</v>
      </c>
      <c r="E178" s="13">
        <v>18960</v>
      </c>
      <c r="F178" s="23">
        <v>25972084.140000001</v>
      </c>
      <c r="G178" s="29">
        <v>0.53</v>
      </c>
      <c r="H178" s="29">
        <v>72.69</v>
      </c>
      <c r="I178" s="12">
        <v>26.51</v>
      </c>
      <c r="J178" s="12">
        <v>157.1</v>
      </c>
      <c r="K178" s="26">
        <v>53.68</v>
      </c>
      <c r="L178" s="12" t="s">
        <v>17</v>
      </c>
    </row>
    <row r="179" spans="1:12" x14ac:dyDescent="0.25">
      <c r="A179" s="17">
        <v>2020</v>
      </c>
      <c r="B179" s="17" t="s">
        <v>12</v>
      </c>
      <c r="C179" s="17" t="s">
        <v>22</v>
      </c>
      <c r="D179" s="17" t="s">
        <v>14</v>
      </c>
      <c r="E179" s="18">
        <v>18546</v>
      </c>
      <c r="F179" s="24">
        <v>42315159.990000002</v>
      </c>
      <c r="G179" s="30">
        <v>1.81</v>
      </c>
      <c r="H179" s="30">
        <v>58.09</v>
      </c>
      <c r="I179" s="17">
        <v>33.08</v>
      </c>
      <c r="J179" s="17">
        <v>110.9</v>
      </c>
      <c r="K179" s="27">
        <v>49.63</v>
      </c>
      <c r="L179" s="17" t="s">
        <v>17</v>
      </c>
    </row>
    <row r="180" spans="1:12" x14ac:dyDescent="0.25">
      <c r="A180" s="12">
        <v>2020</v>
      </c>
      <c r="B180" s="12" t="s">
        <v>12</v>
      </c>
      <c r="C180" s="12" t="s">
        <v>23</v>
      </c>
      <c r="D180" s="12" t="s">
        <v>24</v>
      </c>
      <c r="E180" s="13">
        <v>42883</v>
      </c>
      <c r="F180" s="23">
        <v>18588730.370000001</v>
      </c>
      <c r="G180" s="29">
        <v>6.37</v>
      </c>
      <c r="H180" s="29">
        <v>72.87</v>
      </c>
      <c r="I180" s="12">
        <v>45.86</v>
      </c>
      <c r="J180" s="12">
        <v>273.58999999999997</v>
      </c>
      <c r="K180" s="26">
        <v>52.9</v>
      </c>
      <c r="L180" s="12" t="s">
        <v>15</v>
      </c>
    </row>
    <row r="181" spans="1:12" x14ac:dyDescent="0.25">
      <c r="A181" s="17">
        <v>2020</v>
      </c>
      <c r="B181" s="17" t="s">
        <v>12</v>
      </c>
      <c r="C181" s="17" t="s">
        <v>25</v>
      </c>
      <c r="D181" s="17" t="s">
        <v>24</v>
      </c>
      <c r="E181" s="18">
        <v>49662</v>
      </c>
      <c r="F181" s="24">
        <v>52134225.079999998</v>
      </c>
      <c r="G181" s="30">
        <v>2.9</v>
      </c>
      <c r="H181" s="30">
        <v>96.42</v>
      </c>
      <c r="I181" s="17">
        <v>52.2</v>
      </c>
      <c r="J181" s="17">
        <v>187.23</v>
      </c>
      <c r="K181" s="27">
        <v>76.5</v>
      </c>
      <c r="L181" s="17" t="s">
        <v>19</v>
      </c>
    </row>
    <row r="182" spans="1:12" x14ac:dyDescent="0.25">
      <c r="A182" s="12">
        <v>2020</v>
      </c>
      <c r="B182" s="12" t="s">
        <v>12</v>
      </c>
      <c r="C182" s="12" t="s">
        <v>26</v>
      </c>
      <c r="D182" s="12" t="s">
        <v>24</v>
      </c>
      <c r="E182" s="13">
        <v>48484</v>
      </c>
      <c r="F182" s="23">
        <v>10752134.16</v>
      </c>
      <c r="G182" s="29">
        <v>3.75</v>
      </c>
      <c r="H182" s="29">
        <v>41.49</v>
      </c>
      <c r="I182" s="12">
        <v>10.67</v>
      </c>
      <c r="J182" s="12">
        <v>87.88</v>
      </c>
      <c r="K182" s="26">
        <v>79.09</v>
      </c>
      <c r="L182" s="12" t="s">
        <v>19</v>
      </c>
    </row>
    <row r="183" spans="1:12" x14ac:dyDescent="0.25">
      <c r="A183" s="17">
        <v>2020</v>
      </c>
      <c r="B183" s="17" t="s">
        <v>12</v>
      </c>
      <c r="C183" s="17" t="s">
        <v>28</v>
      </c>
      <c r="D183" s="17" t="s">
        <v>24</v>
      </c>
      <c r="E183" s="18">
        <v>11438</v>
      </c>
      <c r="F183" s="24">
        <v>56002244.289999999</v>
      </c>
      <c r="G183" s="30">
        <v>6.33</v>
      </c>
      <c r="H183" s="30">
        <v>93.95</v>
      </c>
      <c r="I183" s="17">
        <v>52.02</v>
      </c>
      <c r="J183" s="17">
        <v>168.24</v>
      </c>
      <c r="K183" s="27">
        <v>63.04</v>
      </c>
      <c r="L183" s="17" t="s">
        <v>15</v>
      </c>
    </row>
    <row r="184" spans="1:12" x14ac:dyDescent="0.25">
      <c r="A184" s="12">
        <v>2020</v>
      </c>
      <c r="B184" s="12" t="s">
        <v>12</v>
      </c>
      <c r="C184" s="12" t="s">
        <v>29</v>
      </c>
      <c r="D184" s="12" t="s">
        <v>24</v>
      </c>
      <c r="E184" s="13">
        <v>58199</v>
      </c>
      <c r="F184" s="23">
        <v>35481161.409999996</v>
      </c>
      <c r="G184" s="29">
        <v>5.66</v>
      </c>
      <c r="H184" s="29">
        <v>42.96</v>
      </c>
      <c r="I184" s="12">
        <v>27.95</v>
      </c>
      <c r="J184" s="12">
        <v>151.66</v>
      </c>
      <c r="K184" s="26">
        <v>52.29</v>
      </c>
      <c r="L184" s="12" t="s">
        <v>17</v>
      </c>
    </row>
    <row r="185" spans="1:12" x14ac:dyDescent="0.25">
      <c r="A185" s="17">
        <v>2020</v>
      </c>
      <c r="B185" s="17" t="s">
        <v>12</v>
      </c>
      <c r="C185" s="17" t="s">
        <v>30</v>
      </c>
      <c r="D185" s="17" t="s">
        <v>24</v>
      </c>
      <c r="E185" s="18">
        <v>40807</v>
      </c>
      <c r="F185" s="24">
        <v>28409469.32</v>
      </c>
      <c r="G185" s="30">
        <v>3.04</v>
      </c>
      <c r="H185" s="30">
        <v>47.56</v>
      </c>
      <c r="I185" s="17">
        <v>33.590000000000003</v>
      </c>
      <c r="J185" s="17">
        <v>95.38</v>
      </c>
      <c r="K185" s="27">
        <v>57.91</v>
      </c>
      <c r="L185" s="17" t="s">
        <v>17</v>
      </c>
    </row>
    <row r="186" spans="1:12" x14ac:dyDescent="0.25">
      <c r="A186" s="12">
        <v>2020</v>
      </c>
      <c r="B186" s="12" t="s">
        <v>12</v>
      </c>
      <c r="C186" s="12" t="s">
        <v>31</v>
      </c>
      <c r="D186" s="12" t="s">
        <v>24</v>
      </c>
      <c r="E186" s="13">
        <v>27476</v>
      </c>
      <c r="F186" s="23">
        <v>29188076.98</v>
      </c>
      <c r="G186" s="29">
        <v>4.96</v>
      </c>
      <c r="H186" s="29">
        <v>54.96</v>
      </c>
      <c r="I186" s="12">
        <v>34.619999999999997</v>
      </c>
      <c r="J186" s="12">
        <v>228.07</v>
      </c>
      <c r="K186" s="26">
        <v>69.239999999999995</v>
      </c>
      <c r="L186" s="12" t="s">
        <v>21</v>
      </c>
    </row>
    <row r="187" spans="1:12" x14ac:dyDescent="0.25">
      <c r="A187" s="17">
        <v>2020</v>
      </c>
      <c r="B187" s="17" t="s">
        <v>12</v>
      </c>
      <c r="C187" s="17" t="s">
        <v>32</v>
      </c>
      <c r="D187" s="17" t="s">
        <v>24</v>
      </c>
      <c r="E187" s="18">
        <v>25491</v>
      </c>
      <c r="F187" s="24">
        <v>13470114.800000001</v>
      </c>
      <c r="G187" s="30">
        <v>6.6</v>
      </c>
      <c r="H187" s="30">
        <v>70</v>
      </c>
      <c r="I187" s="17">
        <v>41.55</v>
      </c>
      <c r="J187" s="17">
        <v>54.56</v>
      </c>
      <c r="K187" s="27">
        <v>66.45</v>
      </c>
      <c r="L187" s="17" t="s">
        <v>19</v>
      </c>
    </row>
    <row r="188" spans="1:12" x14ac:dyDescent="0.25">
      <c r="A188" s="12">
        <v>2020</v>
      </c>
      <c r="B188" s="12" t="s">
        <v>12</v>
      </c>
      <c r="C188" s="12" t="s">
        <v>33</v>
      </c>
      <c r="D188" s="12" t="s">
        <v>24</v>
      </c>
      <c r="E188" s="13">
        <v>57319</v>
      </c>
      <c r="F188" s="23">
        <v>64038833.049999997</v>
      </c>
      <c r="G188" s="29">
        <v>5.25</v>
      </c>
      <c r="H188" s="29">
        <v>98.77</v>
      </c>
      <c r="I188" s="12">
        <v>44.44</v>
      </c>
      <c r="J188" s="12">
        <v>187.76</v>
      </c>
      <c r="K188" s="26">
        <v>51.45</v>
      </c>
      <c r="L188" s="12" t="s">
        <v>21</v>
      </c>
    </row>
    <row r="189" spans="1:12" x14ac:dyDescent="0.25">
      <c r="A189" s="17">
        <v>2020</v>
      </c>
      <c r="B189" s="17" t="s">
        <v>12</v>
      </c>
      <c r="C189" s="17" t="s">
        <v>34</v>
      </c>
      <c r="D189" s="17" t="s">
        <v>24</v>
      </c>
      <c r="E189" s="18">
        <v>53118</v>
      </c>
      <c r="F189" s="24">
        <v>71564619.920000002</v>
      </c>
      <c r="G189" s="30">
        <v>4.21</v>
      </c>
      <c r="H189" s="30">
        <v>103.57</v>
      </c>
      <c r="I189" s="17">
        <v>52.17</v>
      </c>
      <c r="J189" s="17">
        <v>120.41</v>
      </c>
      <c r="K189" s="27">
        <v>76.81</v>
      </c>
      <c r="L189" s="17" t="s">
        <v>21</v>
      </c>
    </row>
    <row r="190" spans="1:12" x14ac:dyDescent="0.25">
      <c r="A190" s="12">
        <v>2020</v>
      </c>
      <c r="B190" s="12" t="s">
        <v>35</v>
      </c>
      <c r="C190" s="12" t="s">
        <v>13</v>
      </c>
      <c r="D190" s="12" t="s">
        <v>14</v>
      </c>
      <c r="E190" s="13">
        <v>21197</v>
      </c>
      <c r="F190" s="23">
        <v>22480526.16</v>
      </c>
      <c r="G190" s="29">
        <v>1.84</v>
      </c>
      <c r="H190" s="29">
        <v>39.26</v>
      </c>
      <c r="I190" s="12">
        <v>10.62</v>
      </c>
      <c r="J190" s="12">
        <v>193.23</v>
      </c>
      <c r="K190" s="26">
        <v>38.5</v>
      </c>
      <c r="L190" s="12" t="s">
        <v>17</v>
      </c>
    </row>
    <row r="191" spans="1:12" x14ac:dyDescent="0.25">
      <c r="A191" s="17">
        <v>2020</v>
      </c>
      <c r="B191" s="17" t="s">
        <v>35</v>
      </c>
      <c r="C191" s="17" t="s">
        <v>16</v>
      </c>
      <c r="D191" s="17" t="s">
        <v>14</v>
      </c>
      <c r="E191" s="18">
        <v>8785</v>
      </c>
      <c r="F191" s="24">
        <v>16339172.24</v>
      </c>
      <c r="G191" s="30">
        <v>-0.36</v>
      </c>
      <c r="H191" s="30">
        <v>50.5</v>
      </c>
      <c r="I191" s="17">
        <v>16.16</v>
      </c>
      <c r="J191" s="17">
        <v>96.06</v>
      </c>
      <c r="K191" s="27">
        <v>70.489999999999995</v>
      </c>
      <c r="L191" s="17" t="s">
        <v>27</v>
      </c>
    </row>
    <row r="192" spans="1:12" x14ac:dyDescent="0.25">
      <c r="A192" s="12">
        <v>2020</v>
      </c>
      <c r="B192" s="12" t="s">
        <v>35</v>
      </c>
      <c r="C192" s="12" t="s">
        <v>18</v>
      </c>
      <c r="D192" s="12" t="s">
        <v>14</v>
      </c>
      <c r="E192" s="13">
        <v>43775</v>
      </c>
      <c r="F192" s="23">
        <v>10852645.859999999</v>
      </c>
      <c r="G192" s="29">
        <v>2.71</v>
      </c>
      <c r="H192" s="29">
        <v>42.03</v>
      </c>
      <c r="I192" s="12">
        <v>29.43</v>
      </c>
      <c r="J192" s="12">
        <v>282.82</v>
      </c>
      <c r="K192" s="26">
        <v>64.08</v>
      </c>
      <c r="L192" s="12" t="s">
        <v>27</v>
      </c>
    </row>
    <row r="193" spans="1:12" x14ac:dyDescent="0.25">
      <c r="A193" s="17">
        <v>2020</v>
      </c>
      <c r="B193" s="17" t="s">
        <v>35</v>
      </c>
      <c r="C193" s="17" t="s">
        <v>20</v>
      </c>
      <c r="D193" s="17" t="s">
        <v>14</v>
      </c>
      <c r="E193" s="18">
        <v>29178</v>
      </c>
      <c r="F193" s="24">
        <v>41803911.049999997</v>
      </c>
      <c r="G193" s="30">
        <v>2.59</v>
      </c>
      <c r="H193" s="30">
        <v>47.84</v>
      </c>
      <c r="I193" s="17">
        <v>16.52</v>
      </c>
      <c r="J193" s="17">
        <v>134.32</v>
      </c>
      <c r="K193" s="27">
        <v>74.930000000000007</v>
      </c>
      <c r="L193" s="17" t="s">
        <v>17</v>
      </c>
    </row>
    <row r="194" spans="1:12" x14ac:dyDescent="0.25">
      <c r="A194" s="12">
        <v>2020</v>
      </c>
      <c r="B194" s="12" t="s">
        <v>35</v>
      </c>
      <c r="C194" s="12" t="s">
        <v>22</v>
      </c>
      <c r="D194" s="12" t="s">
        <v>14</v>
      </c>
      <c r="E194" s="13">
        <v>8601</v>
      </c>
      <c r="F194" s="23">
        <v>32922566.239999998</v>
      </c>
      <c r="G194" s="29">
        <v>2.99</v>
      </c>
      <c r="H194" s="29">
        <v>82.16</v>
      </c>
      <c r="I194" s="12">
        <v>47.56</v>
      </c>
      <c r="J194" s="12">
        <v>139.41999999999999</v>
      </c>
      <c r="K194" s="26">
        <v>52.96</v>
      </c>
      <c r="L194" s="12" t="s">
        <v>15</v>
      </c>
    </row>
    <row r="195" spans="1:12" x14ac:dyDescent="0.25">
      <c r="A195" s="17">
        <v>2020</v>
      </c>
      <c r="B195" s="17" t="s">
        <v>35</v>
      </c>
      <c r="C195" s="17" t="s">
        <v>23</v>
      </c>
      <c r="D195" s="17" t="s">
        <v>24</v>
      </c>
      <c r="E195" s="18">
        <v>51214</v>
      </c>
      <c r="F195" s="24">
        <v>22604101.449999999</v>
      </c>
      <c r="G195" s="30">
        <v>3.88</v>
      </c>
      <c r="H195" s="30">
        <v>98.74</v>
      </c>
      <c r="I195" s="17">
        <v>29.87</v>
      </c>
      <c r="J195" s="17">
        <v>153.44999999999999</v>
      </c>
      <c r="K195" s="27">
        <v>54.94</v>
      </c>
      <c r="L195" s="17" t="s">
        <v>21</v>
      </c>
    </row>
    <row r="196" spans="1:12" x14ac:dyDescent="0.25">
      <c r="A196" s="12">
        <v>2020</v>
      </c>
      <c r="B196" s="12" t="s">
        <v>35</v>
      </c>
      <c r="C196" s="12" t="s">
        <v>25</v>
      </c>
      <c r="D196" s="12" t="s">
        <v>24</v>
      </c>
      <c r="E196" s="13">
        <v>58086</v>
      </c>
      <c r="F196" s="23">
        <v>50254952.18</v>
      </c>
      <c r="G196" s="29">
        <v>6.19</v>
      </c>
      <c r="H196" s="29">
        <v>46.93</v>
      </c>
      <c r="I196" s="12">
        <v>40.93</v>
      </c>
      <c r="J196" s="12">
        <v>130.68</v>
      </c>
      <c r="K196" s="26">
        <v>54.46</v>
      </c>
      <c r="L196" s="12" t="s">
        <v>27</v>
      </c>
    </row>
    <row r="197" spans="1:12" x14ac:dyDescent="0.25">
      <c r="A197" s="17">
        <v>2020</v>
      </c>
      <c r="B197" s="17" t="s">
        <v>35</v>
      </c>
      <c r="C197" s="17" t="s">
        <v>26</v>
      </c>
      <c r="D197" s="17" t="s">
        <v>24</v>
      </c>
      <c r="E197" s="18">
        <v>63974</v>
      </c>
      <c r="F197" s="24">
        <v>66783552.340000004</v>
      </c>
      <c r="G197" s="30">
        <v>4.99</v>
      </c>
      <c r="H197" s="30">
        <v>43.38</v>
      </c>
      <c r="I197" s="17">
        <v>39.44</v>
      </c>
      <c r="J197" s="17">
        <v>264.14999999999998</v>
      </c>
      <c r="K197" s="27">
        <v>79.22</v>
      </c>
      <c r="L197" s="17" t="s">
        <v>19</v>
      </c>
    </row>
    <row r="198" spans="1:12" x14ac:dyDescent="0.25">
      <c r="A198" s="12">
        <v>2020</v>
      </c>
      <c r="B198" s="12" t="s">
        <v>35</v>
      </c>
      <c r="C198" s="12" t="s">
        <v>28</v>
      </c>
      <c r="D198" s="12" t="s">
        <v>24</v>
      </c>
      <c r="E198" s="13">
        <v>47829</v>
      </c>
      <c r="F198" s="23">
        <v>6077295.0480000004</v>
      </c>
      <c r="G198" s="29">
        <v>3.59</v>
      </c>
      <c r="H198" s="29">
        <v>88.79</v>
      </c>
      <c r="I198" s="12">
        <v>32.57</v>
      </c>
      <c r="J198" s="12">
        <v>175.9</v>
      </c>
      <c r="K198" s="26">
        <v>45.25</v>
      </c>
      <c r="L198" s="12" t="s">
        <v>21</v>
      </c>
    </row>
    <row r="199" spans="1:12" x14ac:dyDescent="0.25">
      <c r="A199" s="17">
        <v>2020</v>
      </c>
      <c r="B199" s="17" t="s">
        <v>35</v>
      </c>
      <c r="C199" s="17" t="s">
        <v>29</v>
      </c>
      <c r="D199" s="17" t="s">
        <v>24</v>
      </c>
      <c r="E199" s="18">
        <v>41163</v>
      </c>
      <c r="F199" s="24">
        <v>19005446.109999999</v>
      </c>
      <c r="G199" s="30">
        <v>4.79</v>
      </c>
      <c r="H199" s="30">
        <v>51.77</v>
      </c>
      <c r="I199" s="17">
        <v>44.26</v>
      </c>
      <c r="J199" s="17">
        <v>210.86</v>
      </c>
      <c r="K199" s="27">
        <v>88.02</v>
      </c>
      <c r="L199" s="17" t="s">
        <v>27</v>
      </c>
    </row>
    <row r="200" spans="1:12" x14ac:dyDescent="0.25">
      <c r="A200" s="12">
        <v>2020</v>
      </c>
      <c r="B200" s="12" t="s">
        <v>35</v>
      </c>
      <c r="C200" s="12" t="s">
        <v>30</v>
      </c>
      <c r="D200" s="12" t="s">
        <v>24</v>
      </c>
      <c r="E200" s="13">
        <v>27381</v>
      </c>
      <c r="F200" s="23">
        <v>65294982.829999998</v>
      </c>
      <c r="G200" s="29">
        <v>2.65</v>
      </c>
      <c r="H200" s="29">
        <v>62.02</v>
      </c>
      <c r="I200" s="12">
        <v>25.37</v>
      </c>
      <c r="J200" s="12">
        <v>130.24</v>
      </c>
      <c r="K200" s="26">
        <v>86.46</v>
      </c>
      <c r="L200" s="12" t="s">
        <v>21</v>
      </c>
    </row>
    <row r="201" spans="1:12" x14ac:dyDescent="0.25">
      <c r="A201" s="17">
        <v>2020</v>
      </c>
      <c r="B201" s="17" t="s">
        <v>35</v>
      </c>
      <c r="C201" s="17" t="s">
        <v>31</v>
      </c>
      <c r="D201" s="17" t="s">
        <v>24</v>
      </c>
      <c r="E201" s="18">
        <v>61462</v>
      </c>
      <c r="F201" s="24">
        <v>55137531.491999902</v>
      </c>
      <c r="G201" s="30">
        <v>5.7799999999999896</v>
      </c>
      <c r="H201" s="30">
        <v>89.44</v>
      </c>
      <c r="I201" s="17">
        <v>51.04</v>
      </c>
      <c r="J201" s="17">
        <v>280.82</v>
      </c>
      <c r="K201" s="27">
        <v>85.04</v>
      </c>
      <c r="L201" s="17" t="s">
        <v>17</v>
      </c>
    </row>
    <row r="202" spans="1:12" x14ac:dyDescent="0.25">
      <c r="A202" s="12">
        <v>2020</v>
      </c>
      <c r="B202" s="12" t="s">
        <v>35</v>
      </c>
      <c r="C202" s="12" t="s">
        <v>32</v>
      </c>
      <c r="D202" s="12" t="s">
        <v>24</v>
      </c>
      <c r="E202" s="13">
        <v>10455</v>
      </c>
      <c r="F202" s="23">
        <v>27982805.100000001</v>
      </c>
      <c r="G202" s="29">
        <v>6.83</v>
      </c>
      <c r="H202" s="29">
        <v>69.099999999999994</v>
      </c>
      <c r="I202" s="12">
        <v>10.39</v>
      </c>
      <c r="J202" s="12">
        <v>105.02</v>
      </c>
      <c r="K202" s="26">
        <v>75.930000000000007</v>
      </c>
      <c r="L202" s="12" t="s">
        <v>17</v>
      </c>
    </row>
    <row r="203" spans="1:12" x14ac:dyDescent="0.25">
      <c r="A203" s="17">
        <v>2020</v>
      </c>
      <c r="B203" s="17" t="s">
        <v>35</v>
      </c>
      <c r="C203" s="17" t="s">
        <v>33</v>
      </c>
      <c r="D203" s="17" t="s">
        <v>24</v>
      </c>
      <c r="E203" s="18">
        <v>53896</v>
      </c>
      <c r="F203" s="24">
        <v>47982928.727999903</v>
      </c>
      <c r="G203" s="30">
        <v>3.17</v>
      </c>
      <c r="H203" s="30">
        <v>75.16</v>
      </c>
      <c r="I203" s="17">
        <v>22.74</v>
      </c>
      <c r="J203" s="17">
        <v>92.93</v>
      </c>
      <c r="K203" s="27">
        <v>86.89</v>
      </c>
      <c r="L203" s="17" t="s">
        <v>17</v>
      </c>
    </row>
    <row r="204" spans="1:12" x14ac:dyDescent="0.25">
      <c r="A204" s="12">
        <v>2020</v>
      </c>
      <c r="B204" s="12" t="s">
        <v>35</v>
      </c>
      <c r="C204" s="12" t="s">
        <v>34</v>
      </c>
      <c r="D204" s="12" t="s">
        <v>24</v>
      </c>
      <c r="E204" s="13">
        <v>47830</v>
      </c>
      <c r="F204" s="23">
        <v>79207664.340000004</v>
      </c>
      <c r="G204" s="29">
        <v>3.46</v>
      </c>
      <c r="H204" s="29">
        <v>58.97</v>
      </c>
      <c r="I204" s="12">
        <v>52.43</v>
      </c>
      <c r="J204" s="12">
        <v>236.28</v>
      </c>
      <c r="K204" s="26">
        <v>50.08</v>
      </c>
      <c r="L204" s="12" t="s">
        <v>15</v>
      </c>
    </row>
    <row r="205" spans="1:12" x14ac:dyDescent="0.25">
      <c r="A205" s="17">
        <v>2020</v>
      </c>
      <c r="B205" s="17" t="s">
        <v>36</v>
      </c>
      <c r="C205" s="17" t="s">
        <v>13</v>
      </c>
      <c r="D205" s="17" t="s">
        <v>14</v>
      </c>
      <c r="E205" s="18">
        <v>27328</v>
      </c>
      <c r="F205" s="24">
        <v>31739575.949999999</v>
      </c>
      <c r="G205" s="30">
        <v>-0.42</v>
      </c>
      <c r="H205" s="30">
        <v>68.61</v>
      </c>
      <c r="I205" s="17">
        <v>19.37</v>
      </c>
      <c r="J205" s="17">
        <v>57.25</v>
      </c>
      <c r="K205" s="27">
        <v>41.31</v>
      </c>
      <c r="L205" s="17" t="s">
        <v>19</v>
      </c>
    </row>
    <row r="206" spans="1:12" x14ac:dyDescent="0.25">
      <c r="A206" s="12">
        <v>2020</v>
      </c>
      <c r="B206" s="12" t="s">
        <v>36</v>
      </c>
      <c r="C206" s="12" t="s">
        <v>16</v>
      </c>
      <c r="D206" s="12" t="s">
        <v>14</v>
      </c>
      <c r="E206" s="13">
        <v>38772</v>
      </c>
      <c r="F206" s="23">
        <v>27841226.879999999</v>
      </c>
      <c r="G206" s="29">
        <v>3.48</v>
      </c>
      <c r="H206" s="29">
        <v>60.92</v>
      </c>
      <c r="I206" s="12">
        <v>27.62</v>
      </c>
      <c r="J206" s="12">
        <v>136.07</v>
      </c>
      <c r="K206" s="26">
        <v>84.47</v>
      </c>
      <c r="L206" s="12" t="s">
        <v>27</v>
      </c>
    </row>
    <row r="207" spans="1:12" x14ac:dyDescent="0.25">
      <c r="A207" s="17">
        <v>2020</v>
      </c>
      <c r="B207" s="17" t="s">
        <v>36</v>
      </c>
      <c r="C207" s="17" t="s">
        <v>18</v>
      </c>
      <c r="D207" s="17" t="s">
        <v>14</v>
      </c>
      <c r="E207" s="18">
        <v>7511</v>
      </c>
      <c r="F207" s="24">
        <v>31385211.280000001</v>
      </c>
      <c r="G207" s="30">
        <v>1.48</v>
      </c>
      <c r="H207" s="30">
        <v>60</v>
      </c>
      <c r="I207" s="17">
        <v>1.68</v>
      </c>
      <c r="J207" s="17">
        <v>52.52</v>
      </c>
      <c r="K207" s="27">
        <v>85.45</v>
      </c>
      <c r="L207" s="17" t="s">
        <v>21</v>
      </c>
    </row>
    <row r="208" spans="1:12" x14ac:dyDescent="0.25">
      <c r="A208" s="12">
        <v>2020</v>
      </c>
      <c r="B208" s="12" t="s">
        <v>36</v>
      </c>
      <c r="C208" s="12" t="s">
        <v>20</v>
      </c>
      <c r="D208" s="12" t="s">
        <v>14</v>
      </c>
      <c r="E208" s="13">
        <v>16212</v>
      </c>
      <c r="F208" s="23">
        <v>59842662.149999999</v>
      </c>
      <c r="G208" s="29">
        <v>0.36</v>
      </c>
      <c r="H208" s="29">
        <v>81.98</v>
      </c>
      <c r="I208" s="12">
        <v>6.72</v>
      </c>
      <c r="J208" s="12">
        <v>59.98</v>
      </c>
      <c r="K208" s="26">
        <v>45.43</v>
      </c>
      <c r="L208" s="12" t="s">
        <v>19</v>
      </c>
    </row>
    <row r="209" spans="1:12" x14ac:dyDescent="0.25">
      <c r="A209" s="17">
        <v>2020</v>
      </c>
      <c r="B209" s="17" t="s">
        <v>36</v>
      </c>
      <c r="C209" s="17" t="s">
        <v>22</v>
      </c>
      <c r="D209" s="17" t="s">
        <v>14</v>
      </c>
      <c r="E209" s="18">
        <v>44767</v>
      </c>
      <c r="F209" s="24">
        <v>6397386.2189999996</v>
      </c>
      <c r="G209" s="30">
        <v>2.66</v>
      </c>
      <c r="H209" s="30">
        <v>65.67</v>
      </c>
      <c r="I209" s="17">
        <v>24.92</v>
      </c>
      <c r="J209" s="17">
        <v>94.9</v>
      </c>
      <c r="K209" s="27">
        <v>53.63</v>
      </c>
      <c r="L209" s="17" t="s">
        <v>19</v>
      </c>
    </row>
    <row r="210" spans="1:12" x14ac:dyDescent="0.25">
      <c r="A210" s="12">
        <v>2020</v>
      </c>
      <c r="B210" s="12" t="s">
        <v>36</v>
      </c>
      <c r="C210" s="12" t="s">
        <v>23</v>
      </c>
      <c r="D210" s="12" t="s">
        <v>24</v>
      </c>
      <c r="E210" s="13">
        <v>29628</v>
      </c>
      <c r="F210" s="23">
        <v>50812407.275999904</v>
      </c>
      <c r="G210" s="29">
        <v>5.1099999999999897</v>
      </c>
      <c r="H210" s="29">
        <v>88.32</v>
      </c>
      <c r="I210" s="12">
        <v>13.49</v>
      </c>
      <c r="J210" s="12">
        <v>66.69</v>
      </c>
      <c r="K210" s="26">
        <v>63.04</v>
      </c>
      <c r="L210" s="12" t="s">
        <v>15</v>
      </c>
    </row>
    <row r="211" spans="1:12" x14ac:dyDescent="0.25">
      <c r="A211" s="17">
        <v>2020</v>
      </c>
      <c r="B211" s="17" t="s">
        <v>36</v>
      </c>
      <c r="C211" s="17" t="s">
        <v>25</v>
      </c>
      <c r="D211" s="17" t="s">
        <v>24</v>
      </c>
      <c r="E211" s="18">
        <v>63137</v>
      </c>
      <c r="F211" s="24">
        <v>23567297.829999998</v>
      </c>
      <c r="G211" s="30">
        <v>4.79</v>
      </c>
      <c r="H211" s="30">
        <v>66.150000000000006</v>
      </c>
      <c r="I211" s="17">
        <v>49.64</v>
      </c>
      <c r="J211" s="17">
        <v>94.47</v>
      </c>
      <c r="K211" s="27">
        <v>82.6</v>
      </c>
      <c r="L211" s="17" t="s">
        <v>21</v>
      </c>
    </row>
    <row r="212" spans="1:12" x14ac:dyDescent="0.25">
      <c r="A212" s="12">
        <v>2020</v>
      </c>
      <c r="B212" s="12" t="s">
        <v>36</v>
      </c>
      <c r="C212" s="12" t="s">
        <v>26</v>
      </c>
      <c r="D212" s="12" t="s">
        <v>24</v>
      </c>
      <c r="E212" s="13">
        <v>56115</v>
      </c>
      <c r="F212" s="23">
        <v>16158944.449999999</v>
      </c>
      <c r="G212" s="29">
        <v>6.22</v>
      </c>
      <c r="H212" s="29">
        <v>91.44</v>
      </c>
      <c r="I212" s="12">
        <v>29.96</v>
      </c>
      <c r="J212" s="12">
        <v>193.54</v>
      </c>
      <c r="K212" s="26">
        <v>89.31</v>
      </c>
      <c r="L212" s="12" t="s">
        <v>27</v>
      </c>
    </row>
    <row r="213" spans="1:12" x14ac:dyDescent="0.25">
      <c r="A213" s="17">
        <v>2020</v>
      </c>
      <c r="B213" s="17" t="s">
        <v>36</v>
      </c>
      <c r="C213" s="17" t="s">
        <v>28</v>
      </c>
      <c r="D213" s="17" t="s">
        <v>24</v>
      </c>
      <c r="E213" s="18">
        <v>33872</v>
      </c>
      <c r="F213" s="24">
        <v>60050676.799999997</v>
      </c>
      <c r="G213" s="30">
        <v>2.94</v>
      </c>
      <c r="H213" s="30">
        <v>88.63</v>
      </c>
      <c r="I213" s="17">
        <v>27.11</v>
      </c>
      <c r="J213" s="17">
        <v>186.09</v>
      </c>
      <c r="K213" s="27">
        <v>61.17</v>
      </c>
      <c r="L213" s="17" t="s">
        <v>19</v>
      </c>
    </row>
    <row r="214" spans="1:12" x14ac:dyDescent="0.25">
      <c r="A214" s="12">
        <v>2020</v>
      </c>
      <c r="B214" s="12" t="s">
        <v>36</v>
      </c>
      <c r="C214" s="12" t="s">
        <v>29</v>
      </c>
      <c r="D214" s="12" t="s">
        <v>24</v>
      </c>
      <c r="E214" s="13">
        <v>56598</v>
      </c>
      <c r="F214" s="23">
        <v>9650777.5319999997</v>
      </c>
      <c r="G214" s="29">
        <v>6.61</v>
      </c>
      <c r="H214" s="29">
        <v>77.650000000000006</v>
      </c>
      <c r="I214" s="12">
        <v>26.15</v>
      </c>
      <c r="J214" s="12">
        <v>69.040000000000006</v>
      </c>
      <c r="K214" s="26">
        <v>88.7</v>
      </c>
      <c r="L214" s="12" t="s">
        <v>17</v>
      </c>
    </row>
    <row r="215" spans="1:12" x14ac:dyDescent="0.25">
      <c r="A215" s="17">
        <v>2020</v>
      </c>
      <c r="B215" s="17" t="s">
        <v>36</v>
      </c>
      <c r="C215" s="17" t="s">
        <v>30</v>
      </c>
      <c r="D215" s="17" t="s">
        <v>24</v>
      </c>
      <c r="E215" s="18">
        <v>8082</v>
      </c>
      <c r="F215" s="24">
        <v>53518254.119999997</v>
      </c>
      <c r="G215" s="30">
        <v>3.35</v>
      </c>
      <c r="H215" s="30">
        <v>102.49</v>
      </c>
      <c r="I215" s="17">
        <v>49.53</v>
      </c>
      <c r="J215" s="17">
        <v>289.41000000000003</v>
      </c>
      <c r="K215" s="27">
        <v>93.02</v>
      </c>
      <c r="L215" s="17" t="s">
        <v>27</v>
      </c>
    </row>
    <row r="216" spans="1:12" x14ac:dyDescent="0.25">
      <c r="A216" s="12">
        <v>2020</v>
      </c>
      <c r="B216" s="12" t="s">
        <v>36</v>
      </c>
      <c r="C216" s="12" t="s">
        <v>31</v>
      </c>
      <c r="D216" s="12" t="s">
        <v>24</v>
      </c>
      <c r="E216" s="13">
        <v>53108</v>
      </c>
      <c r="F216" s="23">
        <v>8982957.7799999993</v>
      </c>
      <c r="G216" s="29">
        <v>6.02</v>
      </c>
      <c r="H216" s="29">
        <v>47.8</v>
      </c>
      <c r="I216" s="12">
        <v>32.450000000000003</v>
      </c>
      <c r="J216" s="12">
        <v>100.39</v>
      </c>
      <c r="K216" s="26">
        <v>59.44</v>
      </c>
      <c r="L216" s="12" t="s">
        <v>17</v>
      </c>
    </row>
    <row r="217" spans="1:12" x14ac:dyDescent="0.25">
      <c r="A217" s="17">
        <v>2020</v>
      </c>
      <c r="B217" s="17" t="s">
        <v>36</v>
      </c>
      <c r="C217" s="17" t="s">
        <v>32</v>
      </c>
      <c r="D217" s="17" t="s">
        <v>24</v>
      </c>
      <c r="E217" s="18">
        <v>42820</v>
      </c>
      <c r="F217" s="24">
        <v>5518854.45599999</v>
      </c>
      <c r="G217" s="30">
        <v>6.58</v>
      </c>
      <c r="H217" s="30">
        <v>41.01</v>
      </c>
      <c r="I217" s="17">
        <v>18.12</v>
      </c>
      <c r="J217" s="17">
        <v>169.67</v>
      </c>
      <c r="K217" s="27">
        <v>79.56</v>
      </c>
      <c r="L217" s="17" t="s">
        <v>27</v>
      </c>
    </row>
    <row r="218" spans="1:12" x14ac:dyDescent="0.25">
      <c r="A218" s="12">
        <v>2020</v>
      </c>
      <c r="B218" s="12" t="s">
        <v>36</v>
      </c>
      <c r="C218" s="12" t="s">
        <v>33</v>
      </c>
      <c r="D218" s="12" t="s">
        <v>24</v>
      </c>
      <c r="E218" s="13">
        <v>55164</v>
      </c>
      <c r="F218" s="23">
        <v>9027240.9240000006</v>
      </c>
      <c r="G218" s="29">
        <v>4.7699999999999996</v>
      </c>
      <c r="H218" s="29">
        <v>48.66</v>
      </c>
      <c r="I218" s="12">
        <v>29.6</v>
      </c>
      <c r="J218" s="12">
        <v>94.48</v>
      </c>
      <c r="K218" s="26">
        <v>55.85</v>
      </c>
      <c r="L218" s="12" t="s">
        <v>27</v>
      </c>
    </row>
    <row r="219" spans="1:12" x14ac:dyDescent="0.25">
      <c r="A219" s="17">
        <v>2020</v>
      </c>
      <c r="B219" s="17" t="s">
        <v>36</v>
      </c>
      <c r="C219" s="17" t="s">
        <v>34</v>
      </c>
      <c r="D219" s="17" t="s">
        <v>24</v>
      </c>
      <c r="E219" s="18">
        <v>12993</v>
      </c>
      <c r="F219" s="24">
        <v>7444019.2560000001</v>
      </c>
      <c r="G219" s="30">
        <v>3.67</v>
      </c>
      <c r="H219" s="30">
        <v>53.23</v>
      </c>
      <c r="I219" s="17">
        <v>49.96</v>
      </c>
      <c r="J219" s="17">
        <v>236.45</v>
      </c>
      <c r="K219" s="27">
        <v>87.73</v>
      </c>
      <c r="L219" s="17" t="s">
        <v>21</v>
      </c>
    </row>
    <row r="220" spans="1:12" x14ac:dyDescent="0.25">
      <c r="A220" s="12">
        <v>2020</v>
      </c>
      <c r="B220" s="12" t="s">
        <v>37</v>
      </c>
      <c r="C220" s="12" t="s">
        <v>13</v>
      </c>
      <c r="D220" s="12" t="s">
        <v>14</v>
      </c>
      <c r="E220" s="13">
        <v>49522</v>
      </c>
      <c r="F220" s="23">
        <v>13749933.390000001</v>
      </c>
      <c r="G220" s="29">
        <v>0.73</v>
      </c>
      <c r="H220" s="29">
        <v>68.38</v>
      </c>
      <c r="I220" s="12">
        <v>46.89</v>
      </c>
      <c r="J220" s="12">
        <v>221.54</v>
      </c>
      <c r="K220" s="26">
        <v>67.28</v>
      </c>
      <c r="L220" s="12" t="s">
        <v>21</v>
      </c>
    </row>
    <row r="221" spans="1:12" x14ac:dyDescent="0.25">
      <c r="A221" s="17">
        <v>2020</v>
      </c>
      <c r="B221" s="17" t="s">
        <v>37</v>
      </c>
      <c r="C221" s="17" t="s">
        <v>16</v>
      </c>
      <c r="D221" s="17" t="s">
        <v>14</v>
      </c>
      <c r="E221" s="18">
        <v>35672</v>
      </c>
      <c r="F221" s="24">
        <v>43822054.960000001</v>
      </c>
      <c r="G221" s="30">
        <v>0.84</v>
      </c>
      <c r="H221" s="30">
        <v>44.22</v>
      </c>
      <c r="I221" s="17">
        <v>46.9</v>
      </c>
      <c r="J221" s="17">
        <v>285.05</v>
      </c>
      <c r="K221" s="27">
        <v>50.09</v>
      </c>
      <c r="L221" s="17" t="s">
        <v>15</v>
      </c>
    </row>
    <row r="222" spans="1:12" x14ac:dyDescent="0.25">
      <c r="A222" s="12">
        <v>2020</v>
      </c>
      <c r="B222" s="12" t="s">
        <v>37</v>
      </c>
      <c r="C222" s="12" t="s">
        <v>18</v>
      </c>
      <c r="D222" s="12" t="s">
        <v>14</v>
      </c>
      <c r="E222" s="13">
        <v>23896</v>
      </c>
      <c r="F222" s="23">
        <v>18747121.280000001</v>
      </c>
      <c r="G222" s="29">
        <v>-0.49</v>
      </c>
      <c r="H222" s="29">
        <v>32.090000000000003</v>
      </c>
      <c r="I222" s="12">
        <v>10.83</v>
      </c>
      <c r="J222" s="12">
        <v>225.49</v>
      </c>
      <c r="K222" s="26">
        <v>56.78</v>
      </c>
      <c r="L222" s="12" t="s">
        <v>19</v>
      </c>
    </row>
    <row r="223" spans="1:12" x14ac:dyDescent="0.25">
      <c r="A223" s="17">
        <v>2020</v>
      </c>
      <c r="B223" s="17" t="s">
        <v>37</v>
      </c>
      <c r="C223" s="17" t="s">
        <v>20</v>
      </c>
      <c r="D223" s="17" t="s">
        <v>14</v>
      </c>
      <c r="E223" s="18">
        <v>7473</v>
      </c>
      <c r="F223" s="24">
        <v>19621770.609999999</v>
      </c>
      <c r="G223" s="30">
        <v>3.88</v>
      </c>
      <c r="H223" s="30">
        <v>74.66</v>
      </c>
      <c r="I223" s="17">
        <v>27.55</v>
      </c>
      <c r="J223" s="17">
        <v>177.22</v>
      </c>
      <c r="K223" s="27">
        <v>72.36</v>
      </c>
      <c r="L223" s="17" t="s">
        <v>21</v>
      </c>
    </row>
    <row r="224" spans="1:12" x14ac:dyDescent="0.25">
      <c r="A224" s="12">
        <v>2020</v>
      </c>
      <c r="B224" s="12" t="s">
        <v>37</v>
      </c>
      <c r="C224" s="12" t="s">
        <v>22</v>
      </c>
      <c r="D224" s="12" t="s">
        <v>14</v>
      </c>
      <c r="E224" s="13">
        <v>11913</v>
      </c>
      <c r="F224" s="23">
        <v>41627181.200000003</v>
      </c>
      <c r="G224" s="29">
        <v>-0.35</v>
      </c>
      <c r="H224" s="29">
        <v>64.459999999999994</v>
      </c>
      <c r="I224" s="12">
        <v>0.83999999999999897</v>
      </c>
      <c r="J224" s="12">
        <v>155.16</v>
      </c>
      <c r="K224" s="26">
        <v>44.89</v>
      </c>
      <c r="L224" s="12" t="s">
        <v>17</v>
      </c>
    </row>
    <row r="225" spans="1:12" x14ac:dyDescent="0.25">
      <c r="A225" s="17">
        <v>2020</v>
      </c>
      <c r="B225" s="17" t="s">
        <v>37</v>
      </c>
      <c r="C225" s="17" t="s">
        <v>23</v>
      </c>
      <c r="D225" s="17" t="s">
        <v>24</v>
      </c>
      <c r="E225" s="18">
        <v>39692</v>
      </c>
      <c r="F225" s="24">
        <v>34859771.57</v>
      </c>
      <c r="G225" s="30">
        <v>6.62</v>
      </c>
      <c r="H225" s="30">
        <v>87.81</v>
      </c>
      <c r="I225" s="17">
        <v>39.64</v>
      </c>
      <c r="J225" s="17">
        <v>189.6</v>
      </c>
      <c r="K225" s="27">
        <v>62.18</v>
      </c>
      <c r="L225" s="17" t="s">
        <v>15</v>
      </c>
    </row>
    <row r="226" spans="1:12" x14ac:dyDescent="0.25">
      <c r="A226" s="12">
        <v>2020</v>
      </c>
      <c r="B226" s="12" t="s">
        <v>37</v>
      </c>
      <c r="C226" s="12" t="s">
        <v>25</v>
      </c>
      <c r="D226" s="12" t="s">
        <v>24</v>
      </c>
      <c r="E226" s="13">
        <v>48805</v>
      </c>
      <c r="F226" s="23">
        <v>32349455.399999999</v>
      </c>
      <c r="G226" s="29">
        <v>4.42</v>
      </c>
      <c r="H226" s="29">
        <v>99.33</v>
      </c>
      <c r="I226" s="12">
        <v>33.79</v>
      </c>
      <c r="J226" s="12">
        <v>96.26</v>
      </c>
      <c r="K226" s="26">
        <v>57.17</v>
      </c>
      <c r="L226" s="12" t="s">
        <v>21</v>
      </c>
    </row>
    <row r="227" spans="1:12" x14ac:dyDescent="0.25">
      <c r="A227" s="17">
        <v>2020</v>
      </c>
      <c r="B227" s="17" t="s">
        <v>37</v>
      </c>
      <c r="C227" s="17" t="s">
        <v>26</v>
      </c>
      <c r="D227" s="17" t="s">
        <v>24</v>
      </c>
      <c r="E227" s="18">
        <v>8115</v>
      </c>
      <c r="F227" s="24">
        <v>44826833.530000001</v>
      </c>
      <c r="G227" s="30">
        <v>4.6500000000000004</v>
      </c>
      <c r="H227" s="30">
        <v>62.42</v>
      </c>
      <c r="I227" s="17">
        <v>41.52</v>
      </c>
      <c r="J227" s="17">
        <v>295.85000000000002</v>
      </c>
      <c r="K227" s="27">
        <v>48.71</v>
      </c>
      <c r="L227" s="17" t="s">
        <v>15</v>
      </c>
    </row>
    <row r="228" spans="1:12" x14ac:dyDescent="0.25">
      <c r="A228" s="12">
        <v>2020</v>
      </c>
      <c r="B228" s="12" t="s">
        <v>37</v>
      </c>
      <c r="C228" s="12" t="s">
        <v>28</v>
      </c>
      <c r="D228" s="12" t="s">
        <v>24</v>
      </c>
      <c r="E228" s="13">
        <v>52951</v>
      </c>
      <c r="F228" s="23">
        <v>13524137.65</v>
      </c>
      <c r="G228" s="29">
        <v>2.83</v>
      </c>
      <c r="H228" s="29">
        <v>73.069999999999993</v>
      </c>
      <c r="I228" s="12">
        <v>27.79</v>
      </c>
      <c r="J228" s="12">
        <v>52.85</v>
      </c>
      <c r="K228" s="26">
        <v>70.84</v>
      </c>
      <c r="L228" s="12" t="s">
        <v>27</v>
      </c>
    </row>
    <row r="229" spans="1:12" x14ac:dyDescent="0.25">
      <c r="A229" s="17">
        <v>2020</v>
      </c>
      <c r="B229" s="17" t="s">
        <v>37</v>
      </c>
      <c r="C229" s="17" t="s">
        <v>29</v>
      </c>
      <c r="D229" s="17" t="s">
        <v>24</v>
      </c>
      <c r="E229" s="18">
        <v>40353</v>
      </c>
      <c r="F229" s="24">
        <v>16476389.24</v>
      </c>
      <c r="G229" s="30">
        <v>3.06</v>
      </c>
      <c r="H229" s="30">
        <v>46.41</v>
      </c>
      <c r="I229" s="17">
        <v>21.11</v>
      </c>
      <c r="J229" s="17">
        <v>194.98</v>
      </c>
      <c r="K229" s="27">
        <v>54.61</v>
      </c>
      <c r="L229" s="17" t="s">
        <v>19</v>
      </c>
    </row>
    <row r="230" spans="1:12" x14ac:dyDescent="0.25">
      <c r="A230" s="12">
        <v>2020</v>
      </c>
      <c r="B230" s="12" t="s">
        <v>37</v>
      </c>
      <c r="C230" s="12" t="s">
        <v>30</v>
      </c>
      <c r="D230" s="12" t="s">
        <v>24</v>
      </c>
      <c r="E230" s="13">
        <v>26015</v>
      </c>
      <c r="F230" s="23">
        <v>13548942.4439999</v>
      </c>
      <c r="G230" s="29">
        <v>5.19</v>
      </c>
      <c r="H230" s="29">
        <v>92.87</v>
      </c>
      <c r="I230" s="12">
        <v>45.67</v>
      </c>
      <c r="J230" s="12">
        <v>248.52</v>
      </c>
      <c r="K230" s="26">
        <v>85.87</v>
      </c>
      <c r="L230" s="12" t="s">
        <v>21</v>
      </c>
    </row>
    <row r="231" spans="1:12" x14ac:dyDescent="0.25">
      <c r="A231" s="17">
        <v>2020</v>
      </c>
      <c r="B231" s="17" t="s">
        <v>37</v>
      </c>
      <c r="C231" s="17" t="s">
        <v>31</v>
      </c>
      <c r="D231" s="17" t="s">
        <v>24</v>
      </c>
      <c r="E231" s="18">
        <v>11163</v>
      </c>
      <c r="F231" s="24">
        <v>12032304.635999899</v>
      </c>
      <c r="G231" s="30">
        <v>3.84</v>
      </c>
      <c r="H231" s="30">
        <v>40.71</v>
      </c>
      <c r="I231" s="17">
        <v>45.09</v>
      </c>
      <c r="J231" s="17">
        <v>122.22</v>
      </c>
      <c r="K231" s="27">
        <v>83.63</v>
      </c>
      <c r="L231" s="17" t="s">
        <v>21</v>
      </c>
    </row>
    <row r="232" spans="1:12" x14ac:dyDescent="0.25">
      <c r="A232" s="12">
        <v>2020</v>
      </c>
      <c r="B232" s="12" t="s">
        <v>37</v>
      </c>
      <c r="C232" s="12" t="s">
        <v>32</v>
      </c>
      <c r="D232" s="12" t="s">
        <v>24</v>
      </c>
      <c r="E232" s="13">
        <v>36975</v>
      </c>
      <c r="F232" s="23">
        <v>33358884.739999998</v>
      </c>
      <c r="G232" s="29">
        <v>5.3599999999999897</v>
      </c>
      <c r="H232" s="29">
        <v>74.28</v>
      </c>
      <c r="I232" s="12">
        <v>33.57</v>
      </c>
      <c r="J232" s="12">
        <v>72.540000000000006</v>
      </c>
      <c r="K232" s="26">
        <v>57.77</v>
      </c>
      <c r="L232" s="12" t="s">
        <v>21</v>
      </c>
    </row>
    <row r="233" spans="1:12" x14ac:dyDescent="0.25">
      <c r="A233" s="17">
        <v>2020</v>
      </c>
      <c r="B233" s="17" t="s">
        <v>37</v>
      </c>
      <c r="C233" s="17" t="s">
        <v>33</v>
      </c>
      <c r="D233" s="17" t="s">
        <v>24</v>
      </c>
      <c r="E233" s="18">
        <v>28163</v>
      </c>
      <c r="F233" s="24">
        <v>76740547.760000005</v>
      </c>
      <c r="G233" s="30">
        <v>6.5</v>
      </c>
      <c r="H233" s="30">
        <v>49.19</v>
      </c>
      <c r="I233" s="17">
        <v>23.05</v>
      </c>
      <c r="J233" s="17">
        <v>154.41999999999999</v>
      </c>
      <c r="K233" s="27">
        <v>78.77</v>
      </c>
      <c r="L233" s="17" t="s">
        <v>17</v>
      </c>
    </row>
    <row r="234" spans="1:12" x14ac:dyDescent="0.25">
      <c r="A234" s="12">
        <v>2020</v>
      </c>
      <c r="B234" s="12" t="s">
        <v>37</v>
      </c>
      <c r="C234" s="12" t="s">
        <v>34</v>
      </c>
      <c r="D234" s="12" t="s">
        <v>24</v>
      </c>
      <c r="E234" s="13">
        <v>49246</v>
      </c>
      <c r="F234" s="23">
        <v>5030391.84</v>
      </c>
      <c r="G234" s="29">
        <v>6.07</v>
      </c>
      <c r="H234" s="29">
        <v>51.07</v>
      </c>
      <c r="I234" s="12">
        <v>47.75</v>
      </c>
      <c r="J234" s="12">
        <v>137.41999999999999</v>
      </c>
      <c r="K234" s="26">
        <v>71.5</v>
      </c>
      <c r="L234" s="12" t="s">
        <v>19</v>
      </c>
    </row>
    <row r="235" spans="1:12" x14ac:dyDescent="0.25">
      <c r="A235" s="17">
        <v>2020</v>
      </c>
      <c r="B235" s="17" t="s">
        <v>12</v>
      </c>
      <c r="C235" s="17" t="s">
        <v>13</v>
      </c>
      <c r="D235" s="17" t="s">
        <v>14</v>
      </c>
      <c r="E235" s="18">
        <v>17825</v>
      </c>
      <c r="F235" s="24">
        <v>37347187.770000003</v>
      </c>
      <c r="G235" s="30">
        <v>0.159999999999999</v>
      </c>
      <c r="H235" s="30">
        <v>62.97</v>
      </c>
      <c r="I235" s="17">
        <v>26.44</v>
      </c>
      <c r="J235" s="17">
        <v>245.48</v>
      </c>
      <c r="K235" s="27">
        <v>75.23</v>
      </c>
      <c r="L235" s="17" t="s">
        <v>27</v>
      </c>
    </row>
    <row r="236" spans="1:12" x14ac:dyDescent="0.25">
      <c r="A236" s="12">
        <v>2020</v>
      </c>
      <c r="B236" s="12" t="s">
        <v>12</v>
      </c>
      <c r="C236" s="12" t="s">
        <v>16</v>
      </c>
      <c r="D236" s="12" t="s">
        <v>14</v>
      </c>
      <c r="E236" s="13">
        <v>21472</v>
      </c>
      <c r="F236" s="23">
        <v>34965645.310000002</v>
      </c>
      <c r="G236" s="29">
        <v>0.25</v>
      </c>
      <c r="H236" s="29">
        <v>49.22</v>
      </c>
      <c r="I236" s="12">
        <v>24.99</v>
      </c>
      <c r="J236" s="12">
        <v>247.01</v>
      </c>
      <c r="K236" s="26">
        <v>80.17</v>
      </c>
      <c r="L236" s="12" t="s">
        <v>17</v>
      </c>
    </row>
    <row r="237" spans="1:12" x14ac:dyDescent="0.25">
      <c r="A237" s="17">
        <v>2020</v>
      </c>
      <c r="B237" s="17" t="s">
        <v>12</v>
      </c>
      <c r="C237" s="17" t="s">
        <v>18</v>
      </c>
      <c r="D237" s="17" t="s">
        <v>14</v>
      </c>
      <c r="E237" s="18">
        <v>35641</v>
      </c>
      <c r="F237" s="24">
        <v>48775290.390000001</v>
      </c>
      <c r="G237" s="30">
        <v>3.88</v>
      </c>
      <c r="H237" s="30">
        <v>60.51</v>
      </c>
      <c r="I237" s="17">
        <v>6.1</v>
      </c>
      <c r="J237" s="17">
        <v>196.59</v>
      </c>
      <c r="K237" s="27">
        <v>78.94</v>
      </c>
      <c r="L237" s="17" t="s">
        <v>21</v>
      </c>
    </row>
    <row r="238" spans="1:12" x14ac:dyDescent="0.25">
      <c r="A238" s="12">
        <v>2020</v>
      </c>
      <c r="B238" s="12" t="s">
        <v>12</v>
      </c>
      <c r="C238" s="12" t="s">
        <v>20</v>
      </c>
      <c r="D238" s="12" t="s">
        <v>14</v>
      </c>
      <c r="E238" s="13">
        <v>18960</v>
      </c>
      <c r="F238" s="23">
        <v>25972084.140000001</v>
      </c>
      <c r="G238" s="29">
        <v>0.53</v>
      </c>
      <c r="H238" s="29">
        <v>72.69</v>
      </c>
      <c r="I238" s="12">
        <v>26.51</v>
      </c>
      <c r="J238" s="12">
        <v>157.1</v>
      </c>
      <c r="K238" s="26">
        <v>53.68</v>
      </c>
      <c r="L238" s="12" t="s">
        <v>17</v>
      </c>
    </row>
    <row r="239" spans="1:12" x14ac:dyDescent="0.25">
      <c r="A239" s="17">
        <v>2020</v>
      </c>
      <c r="B239" s="17" t="s">
        <v>12</v>
      </c>
      <c r="C239" s="17" t="s">
        <v>22</v>
      </c>
      <c r="D239" s="17" t="s">
        <v>14</v>
      </c>
      <c r="E239" s="18">
        <v>18546</v>
      </c>
      <c r="F239" s="24">
        <v>42315159.990000002</v>
      </c>
      <c r="G239" s="30">
        <v>1.81</v>
      </c>
      <c r="H239" s="30">
        <v>58.09</v>
      </c>
      <c r="I239" s="17">
        <v>33.08</v>
      </c>
      <c r="J239" s="17">
        <v>110.9</v>
      </c>
      <c r="K239" s="27">
        <v>49.63</v>
      </c>
      <c r="L239" s="17" t="s">
        <v>17</v>
      </c>
    </row>
    <row r="240" spans="1:12" x14ac:dyDescent="0.25">
      <c r="A240" s="12">
        <v>2020</v>
      </c>
      <c r="B240" s="12" t="s">
        <v>12</v>
      </c>
      <c r="C240" s="12" t="s">
        <v>23</v>
      </c>
      <c r="D240" s="12" t="s">
        <v>24</v>
      </c>
      <c r="E240" s="13">
        <v>42883</v>
      </c>
      <c r="F240" s="23">
        <v>18588730.370000001</v>
      </c>
      <c r="G240" s="29">
        <v>6.37</v>
      </c>
      <c r="H240" s="29">
        <v>72.87</v>
      </c>
      <c r="I240" s="12">
        <v>45.86</v>
      </c>
      <c r="J240" s="12">
        <v>273.58999999999997</v>
      </c>
      <c r="K240" s="26">
        <v>52.9</v>
      </c>
      <c r="L240" s="12" t="s">
        <v>15</v>
      </c>
    </row>
    <row r="241" spans="1:12" x14ac:dyDescent="0.25">
      <c r="A241" s="17">
        <v>2020</v>
      </c>
      <c r="B241" s="17" t="s">
        <v>12</v>
      </c>
      <c r="C241" s="17" t="s">
        <v>25</v>
      </c>
      <c r="D241" s="17" t="s">
        <v>24</v>
      </c>
      <c r="E241" s="18">
        <v>49662</v>
      </c>
      <c r="F241" s="24">
        <v>52134225.079999998</v>
      </c>
      <c r="G241" s="30">
        <v>2.9</v>
      </c>
      <c r="H241" s="30">
        <v>96.42</v>
      </c>
      <c r="I241" s="17">
        <v>52.2</v>
      </c>
      <c r="J241" s="17">
        <v>187.23</v>
      </c>
      <c r="K241" s="27">
        <v>76.5</v>
      </c>
      <c r="L241" s="17" t="s">
        <v>19</v>
      </c>
    </row>
    <row r="242" spans="1:12" x14ac:dyDescent="0.25">
      <c r="A242" s="12">
        <v>2020</v>
      </c>
      <c r="B242" s="12" t="s">
        <v>12</v>
      </c>
      <c r="C242" s="12" t="s">
        <v>26</v>
      </c>
      <c r="D242" s="12" t="s">
        <v>24</v>
      </c>
      <c r="E242" s="13">
        <v>48484</v>
      </c>
      <c r="F242" s="23">
        <v>10752134.16</v>
      </c>
      <c r="G242" s="29">
        <v>3.75</v>
      </c>
      <c r="H242" s="29">
        <v>41.49</v>
      </c>
      <c r="I242" s="12">
        <v>10.67</v>
      </c>
      <c r="J242" s="12">
        <v>87.88</v>
      </c>
      <c r="K242" s="26">
        <v>79.09</v>
      </c>
      <c r="L242" s="12" t="s">
        <v>19</v>
      </c>
    </row>
    <row r="243" spans="1:12" x14ac:dyDescent="0.25">
      <c r="A243" s="17">
        <v>2020</v>
      </c>
      <c r="B243" s="17" t="s">
        <v>12</v>
      </c>
      <c r="C243" s="17" t="s">
        <v>28</v>
      </c>
      <c r="D243" s="17" t="s">
        <v>24</v>
      </c>
      <c r="E243" s="18">
        <v>11438</v>
      </c>
      <c r="F243" s="24">
        <v>56002244.289999999</v>
      </c>
      <c r="G243" s="30">
        <v>6.33</v>
      </c>
      <c r="H243" s="30">
        <v>93.95</v>
      </c>
      <c r="I243" s="17">
        <v>52.02</v>
      </c>
      <c r="J243" s="17">
        <v>168.24</v>
      </c>
      <c r="K243" s="27">
        <v>63.04</v>
      </c>
      <c r="L243" s="17" t="s">
        <v>15</v>
      </c>
    </row>
    <row r="244" spans="1:12" x14ac:dyDescent="0.25">
      <c r="A244" s="12">
        <v>2020</v>
      </c>
      <c r="B244" s="12" t="s">
        <v>12</v>
      </c>
      <c r="C244" s="12" t="s">
        <v>29</v>
      </c>
      <c r="D244" s="12" t="s">
        <v>24</v>
      </c>
      <c r="E244" s="13">
        <v>58199</v>
      </c>
      <c r="F244" s="23">
        <v>35481161.409999996</v>
      </c>
      <c r="G244" s="29">
        <v>5.66</v>
      </c>
      <c r="H244" s="29">
        <v>42.96</v>
      </c>
      <c r="I244" s="12">
        <v>27.95</v>
      </c>
      <c r="J244" s="12">
        <v>151.66</v>
      </c>
      <c r="K244" s="26">
        <v>52.29</v>
      </c>
      <c r="L244" s="12" t="s">
        <v>17</v>
      </c>
    </row>
    <row r="245" spans="1:12" x14ac:dyDescent="0.25">
      <c r="A245" s="17">
        <v>2020</v>
      </c>
      <c r="B245" s="17" t="s">
        <v>12</v>
      </c>
      <c r="C245" s="17" t="s">
        <v>30</v>
      </c>
      <c r="D245" s="17" t="s">
        <v>24</v>
      </c>
      <c r="E245" s="18">
        <v>40807</v>
      </c>
      <c r="F245" s="24">
        <v>28409469.32</v>
      </c>
      <c r="G245" s="30">
        <v>3.04</v>
      </c>
      <c r="H245" s="30">
        <v>47.56</v>
      </c>
      <c r="I245" s="17">
        <v>33.590000000000003</v>
      </c>
      <c r="J245" s="17">
        <v>95.38</v>
      </c>
      <c r="K245" s="27">
        <v>57.91</v>
      </c>
      <c r="L245" s="17" t="s">
        <v>17</v>
      </c>
    </row>
    <row r="246" spans="1:12" x14ac:dyDescent="0.25">
      <c r="A246" s="12">
        <v>2020</v>
      </c>
      <c r="B246" s="12" t="s">
        <v>12</v>
      </c>
      <c r="C246" s="12" t="s">
        <v>31</v>
      </c>
      <c r="D246" s="12" t="s">
        <v>24</v>
      </c>
      <c r="E246" s="13">
        <v>27476</v>
      </c>
      <c r="F246" s="23">
        <v>29188076.98</v>
      </c>
      <c r="G246" s="29">
        <v>4.96</v>
      </c>
      <c r="H246" s="29">
        <v>54.96</v>
      </c>
      <c r="I246" s="12">
        <v>34.619999999999997</v>
      </c>
      <c r="J246" s="12">
        <v>228.07</v>
      </c>
      <c r="K246" s="26">
        <v>69.239999999999995</v>
      </c>
      <c r="L246" s="12" t="s">
        <v>21</v>
      </c>
    </row>
    <row r="247" spans="1:12" x14ac:dyDescent="0.25">
      <c r="A247" s="17">
        <v>2020</v>
      </c>
      <c r="B247" s="17" t="s">
        <v>12</v>
      </c>
      <c r="C247" s="17" t="s">
        <v>32</v>
      </c>
      <c r="D247" s="17" t="s">
        <v>24</v>
      </c>
      <c r="E247" s="18">
        <v>25491</v>
      </c>
      <c r="F247" s="24">
        <v>13470114.800000001</v>
      </c>
      <c r="G247" s="30">
        <v>6.6</v>
      </c>
      <c r="H247" s="30">
        <v>70</v>
      </c>
      <c r="I247" s="17">
        <v>41.55</v>
      </c>
      <c r="J247" s="17">
        <v>54.56</v>
      </c>
      <c r="K247" s="27">
        <v>66.45</v>
      </c>
      <c r="L247" s="17" t="s">
        <v>19</v>
      </c>
    </row>
    <row r="248" spans="1:12" x14ac:dyDescent="0.25">
      <c r="A248" s="12">
        <v>2020</v>
      </c>
      <c r="B248" s="12" t="s">
        <v>12</v>
      </c>
      <c r="C248" s="12" t="s">
        <v>33</v>
      </c>
      <c r="D248" s="12" t="s">
        <v>24</v>
      </c>
      <c r="E248" s="13">
        <v>57319</v>
      </c>
      <c r="F248" s="23">
        <v>64038833.049999997</v>
      </c>
      <c r="G248" s="29">
        <v>5.25</v>
      </c>
      <c r="H248" s="29">
        <v>98.77</v>
      </c>
      <c r="I248" s="12">
        <v>44.44</v>
      </c>
      <c r="J248" s="12">
        <v>187.76</v>
      </c>
      <c r="K248" s="26">
        <v>51.45</v>
      </c>
      <c r="L248" s="12" t="s">
        <v>21</v>
      </c>
    </row>
    <row r="249" spans="1:12" x14ac:dyDescent="0.25">
      <c r="A249" s="17">
        <v>2020</v>
      </c>
      <c r="B249" s="17" t="s">
        <v>12</v>
      </c>
      <c r="C249" s="17" t="s">
        <v>34</v>
      </c>
      <c r="D249" s="17" t="s">
        <v>24</v>
      </c>
      <c r="E249" s="18">
        <v>53118</v>
      </c>
      <c r="F249" s="24">
        <v>71564619.920000002</v>
      </c>
      <c r="G249" s="30">
        <v>4.21</v>
      </c>
      <c r="H249" s="30">
        <v>103.57</v>
      </c>
      <c r="I249" s="17">
        <v>52.17</v>
      </c>
      <c r="J249" s="17">
        <v>120.41</v>
      </c>
      <c r="K249" s="27">
        <v>76.81</v>
      </c>
      <c r="L249" s="17" t="s">
        <v>21</v>
      </c>
    </row>
    <row r="250" spans="1:12" x14ac:dyDescent="0.25">
      <c r="A250" s="12">
        <v>2020</v>
      </c>
      <c r="B250" s="12" t="s">
        <v>35</v>
      </c>
      <c r="C250" s="12" t="s">
        <v>13</v>
      </c>
      <c r="D250" s="12" t="s">
        <v>14</v>
      </c>
      <c r="E250" s="13">
        <v>21197</v>
      </c>
      <c r="F250" s="23">
        <v>22480526.16</v>
      </c>
      <c r="G250" s="29">
        <v>1.84</v>
      </c>
      <c r="H250" s="29">
        <v>39.26</v>
      </c>
      <c r="I250" s="12">
        <v>10.62</v>
      </c>
      <c r="J250" s="12">
        <v>193.23</v>
      </c>
      <c r="K250" s="26">
        <v>38.5</v>
      </c>
      <c r="L250" s="12" t="s">
        <v>17</v>
      </c>
    </row>
    <row r="251" spans="1:12" x14ac:dyDescent="0.25">
      <c r="A251" s="17">
        <v>2020</v>
      </c>
      <c r="B251" s="17" t="s">
        <v>35</v>
      </c>
      <c r="C251" s="17" t="s">
        <v>16</v>
      </c>
      <c r="D251" s="17" t="s">
        <v>14</v>
      </c>
      <c r="E251" s="18">
        <v>8785</v>
      </c>
      <c r="F251" s="24">
        <v>16339172.24</v>
      </c>
      <c r="G251" s="30">
        <v>-0.36</v>
      </c>
      <c r="H251" s="30">
        <v>50.5</v>
      </c>
      <c r="I251" s="17">
        <v>16.16</v>
      </c>
      <c r="J251" s="17">
        <v>96.06</v>
      </c>
      <c r="K251" s="27">
        <v>70.489999999999995</v>
      </c>
      <c r="L251" s="17" t="s">
        <v>27</v>
      </c>
    </row>
    <row r="252" spans="1:12" x14ac:dyDescent="0.25">
      <c r="A252" s="12">
        <v>2020</v>
      </c>
      <c r="B252" s="12" t="s">
        <v>35</v>
      </c>
      <c r="C252" s="12" t="s">
        <v>18</v>
      </c>
      <c r="D252" s="12" t="s">
        <v>14</v>
      </c>
      <c r="E252" s="13">
        <v>43775</v>
      </c>
      <c r="F252" s="23">
        <v>10852645.859999999</v>
      </c>
      <c r="G252" s="29">
        <v>2.71</v>
      </c>
      <c r="H252" s="29">
        <v>42.03</v>
      </c>
      <c r="I252" s="12">
        <v>29.43</v>
      </c>
      <c r="J252" s="12">
        <v>282.82</v>
      </c>
      <c r="K252" s="26">
        <v>64.08</v>
      </c>
      <c r="L252" s="12" t="s">
        <v>27</v>
      </c>
    </row>
    <row r="253" spans="1:12" x14ac:dyDescent="0.25">
      <c r="A253" s="17">
        <v>2020</v>
      </c>
      <c r="B253" s="17" t="s">
        <v>35</v>
      </c>
      <c r="C253" s="17" t="s">
        <v>20</v>
      </c>
      <c r="D253" s="17" t="s">
        <v>14</v>
      </c>
      <c r="E253" s="18">
        <v>29178</v>
      </c>
      <c r="F253" s="24">
        <v>41803911.049999997</v>
      </c>
      <c r="G253" s="30">
        <v>2.59</v>
      </c>
      <c r="H253" s="30">
        <v>47.84</v>
      </c>
      <c r="I253" s="17">
        <v>16.52</v>
      </c>
      <c r="J253" s="17">
        <v>134.32</v>
      </c>
      <c r="K253" s="27">
        <v>74.930000000000007</v>
      </c>
      <c r="L253" s="17" t="s">
        <v>17</v>
      </c>
    </row>
    <row r="254" spans="1:12" x14ac:dyDescent="0.25">
      <c r="A254" s="12">
        <v>2020</v>
      </c>
      <c r="B254" s="12" t="s">
        <v>35</v>
      </c>
      <c r="C254" s="12" t="s">
        <v>22</v>
      </c>
      <c r="D254" s="12" t="s">
        <v>14</v>
      </c>
      <c r="E254" s="13">
        <v>8601</v>
      </c>
      <c r="F254" s="23">
        <v>32922566.239999998</v>
      </c>
      <c r="G254" s="29">
        <v>2.99</v>
      </c>
      <c r="H254" s="29">
        <v>82.16</v>
      </c>
      <c r="I254" s="12">
        <v>47.56</v>
      </c>
      <c r="J254" s="12">
        <v>139.41999999999999</v>
      </c>
      <c r="K254" s="26">
        <v>52.96</v>
      </c>
      <c r="L254" s="12" t="s">
        <v>15</v>
      </c>
    </row>
    <row r="255" spans="1:12" x14ac:dyDescent="0.25">
      <c r="A255" s="17">
        <v>2020</v>
      </c>
      <c r="B255" s="17" t="s">
        <v>35</v>
      </c>
      <c r="C255" s="17" t="s">
        <v>23</v>
      </c>
      <c r="D255" s="17" t="s">
        <v>24</v>
      </c>
      <c r="E255" s="18">
        <v>51214</v>
      </c>
      <c r="F255" s="24">
        <v>22604101.449999999</v>
      </c>
      <c r="G255" s="30">
        <v>3.88</v>
      </c>
      <c r="H255" s="30">
        <v>98.74</v>
      </c>
      <c r="I255" s="17">
        <v>29.87</v>
      </c>
      <c r="J255" s="17">
        <v>153.44999999999999</v>
      </c>
      <c r="K255" s="27">
        <v>54.94</v>
      </c>
      <c r="L255" s="17" t="s">
        <v>21</v>
      </c>
    </row>
    <row r="256" spans="1:12" x14ac:dyDescent="0.25">
      <c r="A256" s="12">
        <v>2020</v>
      </c>
      <c r="B256" s="12" t="s">
        <v>35</v>
      </c>
      <c r="C256" s="12" t="s">
        <v>25</v>
      </c>
      <c r="D256" s="12" t="s">
        <v>24</v>
      </c>
      <c r="E256" s="13">
        <v>58086</v>
      </c>
      <c r="F256" s="23">
        <v>50254952.18</v>
      </c>
      <c r="G256" s="29">
        <v>6.19</v>
      </c>
      <c r="H256" s="29">
        <v>46.93</v>
      </c>
      <c r="I256" s="12">
        <v>40.93</v>
      </c>
      <c r="J256" s="12">
        <v>130.68</v>
      </c>
      <c r="K256" s="26">
        <v>54.46</v>
      </c>
      <c r="L256" s="12" t="s">
        <v>27</v>
      </c>
    </row>
    <row r="257" spans="1:12" x14ac:dyDescent="0.25">
      <c r="A257" s="17">
        <v>2020</v>
      </c>
      <c r="B257" s="17" t="s">
        <v>35</v>
      </c>
      <c r="C257" s="17" t="s">
        <v>26</v>
      </c>
      <c r="D257" s="17" t="s">
        <v>24</v>
      </c>
      <c r="E257" s="18">
        <v>63974</v>
      </c>
      <c r="F257" s="24">
        <v>66783552.340000004</v>
      </c>
      <c r="G257" s="30">
        <v>4.99</v>
      </c>
      <c r="H257" s="30">
        <v>43.38</v>
      </c>
      <c r="I257" s="17">
        <v>39.44</v>
      </c>
      <c r="J257" s="17">
        <v>264.14999999999998</v>
      </c>
      <c r="K257" s="27">
        <v>79.22</v>
      </c>
      <c r="L257" s="17" t="s">
        <v>19</v>
      </c>
    </row>
    <row r="258" spans="1:12" x14ac:dyDescent="0.25">
      <c r="A258" s="12">
        <v>2020</v>
      </c>
      <c r="B258" s="12" t="s">
        <v>35</v>
      </c>
      <c r="C258" s="12" t="s">
        <v>28</v>
      </c>
      <c r="D258" s="12" t="s">
        <v>24</v>
      </c>
      <c r="E258" s="13">
        <v>47829</v>
      </c>
      <c r="F258" s="23">
        <v>6077295.0480000004</v>
      </c>
      <c r="G258" s="29">
        <v>3.59</v>
      </c>
      <c r="H258" s="29">
        <v>88.79</v>
      </c>
      <c r="I258" s="12">
        <v>32.57</v>
      </c>
      <c r="J258" s="12">
        <v>175.9</v>
      </c>
      <c r="K258" s="26">
        <v>45.25</v>
      </c>
      <c r="L258" s="12" t="s">
        <v>21</v>
      </c>
    </row>
    <row r="259" spans="1:12" x14ac:dyDescent="0.25">
      <c r="A259" s="17">
        <v>2020</v>
      </c>
      <c r="B259" s="17" t="s">
        <v>35</v>
      </c>
      <c r="C259" s="17" t="s">
        <v>29</v>
      </c>
      <c r="D259" s="17" t="s">
        <v>24</v>
      </c>
      <c r="E259" s="18">
        <v>41163</v>
      </c>
      <c r="F259" s="24">
        <v>19005446.109999999</v>
      </c>
      <c r="G259" s="30">
        <v>4.79</v>
      </c>
      <c r="H259" s="30">
        <v>51.77</v>
      </c>
      <c r="I259" s="17">
        <v>44.26</v>
      </c>
      <c r="J259" s="17">
        <v>210.86</v>
      </c>
      <c r="K259" s="27">
        <v>88.02</v>
      </c>
      <c r="L259" s="17" t="s">
        <v>27</v>
      </c>
    </row>
    <row r="260" spans="1:12" x14ac:dyDescent="0.25">
      <c r="A260" s="12">
        <v>2020</v>
      </c>
      <c r="B260" s="12" t="s">
        <v>35</v>
      </c>
      <c r="C260" s="12" t="s">
        <v>30</v>
      </c>
      <c r="D260" s="12" t="s">
        <v>24</v>
      </c>
      <c r="E260" s="13">
        <v>27381</v>
      </c>
      <c r="F260" s="23">
        <v>65294982.829999998</v>
      </c>
      <c r="G260" s="29">
        <v>2.65</v>
      </c>
      <c r="H260" s="29">
        <v>62.02</v>
      </c>
      <c r="I260" s="12">
        <v>25.37</v>
      </c>
      <c r="J260" s="12">
        <v>130.24</v>
      </c>
      <c r="K260" s="26">
        <v>86.46</v>
      </c>
      <c r="L260" s="12" t="s">
        <v>21</v>
      </c>
    </row>
    <row r="261" spans="1:12" x14ac:dyDescent="0.25">
      <c r="A261" s="17">
        <v>2020</v>
      </c>
      <c r="B261" s="17" t="s">
        <v>35</v>
      </c>
      <c r="C261" s="17" t="s">
        <v>31</v>
      </c>
      <c r="D261" s="17" t="s">
        <v>24</v>
      </c>
      <c r="E261" s="18">
        <v>61462</v>
      </c>
      <c r="F261" s="24">
        <v>55137531.491999902</v>
      </c>
      <c r="G261" s="30">
        <v>5.7799999999999896</v>
      </c>
      <c r="H261" s="30">
        <v>89.44</v>
      </c>
      <c r="I261" s="17">
        <v>51.04</v>
      </c>
      <c r="J261" s="17">
        <v>280.82</v>
      </c>
      <c r="K261" s="27">
        <v>85.04</v>
      </c>
      <c r="L261" s="17" t="s">
        <v>17</v>
      </c>
    </row>
    <row r="262" spans="1:12" x14ac:dyDescent="0.25">
      <c r="A262" s="12">
        <v>2020</v>
      </c>
      <c r="B262" s="12" t="s">
        <v>35</v>
      </c>
      <c r="C262" s="12" t="s">
        <v>32</v>
      </c>
      <c r="D262" s="12" t="s">
        <v>24</v>
      </c>
      <c r="E262" s="13">
        <v>10455</v>
      </c>
      <c r="F262" s="23">
        <v>27982805.100000001</v>
      </c>
      <c r="G262" s="29">
        <v>6.83</v>
      </c>
      <c r="H262" s="29">
        <v>69.099999999999994</v>
      </c>
      <c r="I262" s="12">
        <v>10.39</v>
      </c>
      <c r="J262" s="12">
        <v>105.02</v>
      </c>
      <c r="K262" s="26">
        <v>75.930000000000007</v>
      </c>
      <c r="L262" s="12" t="s">
        <v>17</v>
      </c>
    </row>
    <row r="263" spans="1:12" x14ac:dyDescent="0.25">
      <c r="A263" s="17">
        <v>2020</v>
      </c>
      <c r="B263" s="17" t="s">
        <v>35</v>
      </c>
      <c r="C263" s="17" t="s">
        <v>33</v>
      </c>
      <c r="D263" s="17" t="s">
        <v>24</v>
      </c>
      <c r="E263" s="18">
        <v>53896</v>
      </c>
      <c r="F263" s="24">
        <v>47982928.727999903</v>
      </c>
      <c r="G263" s="30">
        <v>3.17</v>
      </c>
      <c r="H263" s="30">
        <v>75.16</v>
      </c>
      <c r="I263" s="17">
        <v>22.74</v>
      </c>
      <c r="J263" s="17">
        <v>92.93</v>
      </c>
      <c r="K263" s="27">
        <v>86.89</v>
      </c>
      <c r="L263" s="17" t="s">
        <v>17</v>
      </c>
    </row>
    <row r="264" spans="1:12" x14ac:dyDescent="0.25">
      <c r="A264" s="12">
        <v>2020</v>
      </c>
      <c r="B264" s="12" t="s">
        <v>35</v>
      </c>
      <c r="C264" s="12" t="s">
        <v>34</v>
      </c>
      <c r="D264" s="12" t="s">
        <v>24</v>
      </c>
      <c r="E264" s="13">
        <v>47830</v>
      </c>
      <c r="F264" s="23">
        <v>79207664.340000004</v>
      </c>
      <c r="G264" s="29">
        <v>3.46</v>
      </c>
      <c r="H264" s="29">
        <v>58.97</v>
      </c>
      <c r="I264" s="12">
        <v>52.43</v>
      </c>
      <c r="J264" s="12">
        <v>236.28</v>
      </c>
      <c r="K264" s="26">
        <v>50.08</v>
      </c>
      <c r="L264" s="12" t="s">
        <v>15</v>
      </c>
    </row>
    <row r="265" spans="1:12" x14ac:dyDescent="0.25">
      <c r="A265" s="17">
        <v>2020</v>
      </c>
      <c r="B265" s="17" t="s">
        <v>36</v>
      </c>
      <c r="C265" s="17" t="s">
        <v>13</v>
      </c>
      <c r="D265" s="17" t="s">
        <v>14</v>
      </c>
      <c r="E265" s="18">
        <v>27328</v>
      </c>
      <c r="F265" s="24">
        <v>31739575.949999999</v>
      </c>
      <c r="G265" s="30">
        <v>-0.42</v>
      </c>
      <c r="H265" s="30">
        <v>68.61</v>
      </c>
      <c r="I265" s="17">
        <v>19.37</v>
      </c>
      <c r="J265" s="17">
        <v>57.25</v>
      </c>
      <c r="K265" s="27">
        <v>41.31</v>
      </c>
      <c r="L265" s="17" t="s">
        <v>19</v>
      </c>
    </row>
    <row r="266" spans="1:12" x14ac:dyDescent="0.25">
      <c r="A266" s="12">
        <v>2020</v>
      </c>
      <c r="B266" s="12" t="s">
        <v>36</v>
      </c>
      <c r="C266" s="12" t="s">
        <v>16</v>
      </c>
      <c r="D266" s="12" t="s">
        <v>14</v>
      </c>
      <c r="E266" s="13">
        <v>38772</v>
      </c>
      <c r="F266" s="23">
        <v>27841226.879999999</v>
      </c>
      <c r="G266" s="29">
        <v>3.48</v>
      </c>
      <c r="H266" s="29">
        <v>60.92</v>
      </c>
      <c r="I266" s="12">
        <v>27.62</v>
      </c>
      <c r="J266" s="12">
        <v>136.07</v>
      </c>
      <c r="K266" s="26">
        <v>84.47</v>
      </c>
      <c r="L266" s="12" t="s">
        <v>27</v>
      </c>
    </row>
    <row r="267" spans="1:12" x14ac:dyDescent="0.25">
      <c r="A267" s="17">
        <v>2020</v>
      </c>
      <c r="B267" s="17" t="s">
        <v>36</v>
      </c>
      <c r="C267" s="17" t="s">
        <v>18</v>
      </c>
      <c r="D267" s="17" t="s">
        <v>14</v>
      </c>
      <c r="E267" s="18">
        <v>7511</v>
      </c>
      <c r="F267" s="24">
        <v>31385211.280000001</v>
      </c>
      <c r="G267" s="30">
        <v>1.48</v>
      </c>
      <c r="H267" s="30">
        <v>60</v>
      </c>
      <c r="I267" s="17">
        <v>1.68</v>
      </c>
      <c r="J267" s="17">
        <v>52.52</v>
      </c>
      <c r="K267" s="27">
        <v>85.45</v>
      </c>
      <c r="L267" s="17" t="s">
        <v>21</v>
      </c>
    </row>
    <row r="268" spans="1:12" x14ac:dyDescent="0.25">
      <c r="A268" s="12">
        <v>2020</v>
      </c>
      <c r="B268" s="12" t="s">
        <v>36</v>
      </c>
      <c r="C268" s="12" t="s">
        <v>20</v>
      </c>
      <c r="D268" s="12" t="s">
        <v>14</v>
      </c>
      <c r="E268" s="13">
        <v>16212</v>
      </c>
      <c r="F268" s="23">
        <v>59842662.149999999</v>
      </c>
      <c r="G268" s="29">
        <v>0.36</v>
      </c>
      <c r="H268" s="29">
        <v>81.98</v>
      </c>
      <c r="I268" s="12">
        <v>6.72</v>
      </c>
      <c r="J268" s="12">
        <v>59.98</v>
      </c>
      <c r="K268" s="26">
        <v>45.43</v>
      </c>
      <c r="L268" s="12" t="s">
        <v>19</v>
      </c>
    </row>
    <row r="269" spans="1:12" x14ac:dyDescent="0.25">
      <c r="A269" s="17">
        <v>2020</v>
      </c>
      <c r="B269" s="17" t="s">
        <v>36</v>
      </c>
      <c r="C269" s="17" t="s">
        <v>22</v>
      </c>
      <c r="D269" s="17" t="s">
        <v>14</v>
      </c>
      <c r="E269" s="18">
        <v>44767</v>
      </c>
      <c r="F269" s="24">
        <v>6397386.2189999996</v>
      </c>
      <c r="G269" s="30">
        <v>2.66</v>
      </c>
      <c r="H269" s="30">
        <v>65.67</v>
      </c>
      <c r="I269" s="17">
        <v>24.92</v>
      </c>
      <c r="J269" s="17">
        <v>94.9</v>
      </c>
      <c r="K269" s="27">
        <v>53.63</v>
      </c>
      <c r="L269" s="17" t="s">
        <v>19</v>
      </c>
    </row>
    <row r="270" spans="1:12" x14ac:dyDescent="0.25">
      <c r="A270" s="12">
        <v>2020</v>
      </c>
      <c r="B270" s="12" t="s">
        <v>36</v>
      </c>
      <c r="C270" s="12" t="s">
        <v>23</v>
      </c>
      <c r="D270" s="12" t="s">
        <v>24</v>
      </c>
      <c r="E270" s="13">
        <v>29628</v>
      </c>
      <c r="F270" s="23">
        <v>50812407.275999904</v>
      </c>
      <c r="G270" s="29">
        <v>5.1099999999999897</v>
      </c>
      <c r="H270" s="29">
        <v>88.32</v>
      </c>
      <c r="I270" s="12">
        <v>13.49</v>
      </c>
      <c r="J270" s="12">
        <v>66.69</v>
      </c>
      <c r="K270" s="26">
        <v>63.04</v>
      </c>
      <c r="L270" s="12" t="s">
        <v>15</v>
      </c>
    </row>
    <row r="271" spans="1:12" x14ac:dyDescent="0.25">
      <c r="A271" s="17">
        <v>2020</v>
      </c>
      <c r="B271" s="17" t="s">
        <v>36</v>
      </c>
      <c r="C271" s="17" t="s">
        <v>25</v>
      </c>
      <c r="D271" s="17" t="s">
        <v>24</v>
      </c>
      <c r="E271" s="18">
        <v>63137</v>
      </c>
      <c r="F271" s="24">
        <v>23567297.829999998</v>
      </c>
      <c r="G271" s="30">
        <v>4.79</v>
      </c>
      <c r="H271" s="30">
        <v>66.150000000000006</v>
      </c>
      <c r="I271" s="17">
        <v>49.64</v>
      </c>
      <c r="J271" s="17">
        <v>94.47</v>
      </c>
      <c r="K271" s="27">
        <v>82.6</v>
      </c>
      <c r="L271" s="17" t="s">
        <v>21</v>
      </c>
    </row>
    <row r="272" spans="1:12" x14ac:dyDescent="0.25">
      <c r="A272" s="12">
        <v>2020</v>
      </c>
      <c r="B272" s="12" t="s">
        <v>36</v>
      </c>
      <c r="C272" s="12" t="s">
        <v>26</v>
      </c>
      <c r="D272" s="12" t="s">
        <v>24</v>
      </c>
      <c r="E272" s="13">
        <v>56115</v>
      </c>
      <c r="F272" s="23">
        <v>16158944.449999999</v>
      </c>
      <c r="G272" s="29">
        <v>6.22</v>
      </c>
      <c r="H272" s="29">
        <v>91.44</v>
      </c>
      <c r="I272" s="12">
        <v>29.96</v>
      </c>
      <c r="J272" s="12">
        <v>193.54</v>
      </c>
      <c r="K272" s="26">
        <v>89.31</v>
      </c>
      <c r="L272" s="12" t="s">
        <v>27</v>
      </c>
    </row>
    <row r="273" spans="1:12" x14ac:dyDescent="0.25">
      <c r="A273" s="17">
        <v>2020</v>
      </c>
      <c r="B273" s="17" t="s">
        <v>36</v>
      </c>
      <c r="C273" s="17" t="s">
        <v>28</v>
      </c>
      <c r="D273" s="17" t="s">
        <v>24</v>
      </c>
      <c r="E273" s="18">
        <v>33872</v>
      </c>
      <c r="F273" s="24">
        <v>60050676.799999997</v>
      </c>
      <c r="G273" s="30">
        <v>2.94</v>
      </c>
      <c r="H273" s="30">
        <v>88.63</v>
      </c>
      <c r="I273" s="17">
        <v>27.11</v>
      </c>
      <c r="J273" s="17">
        <v>186.09</v>
      </c>
      <c r="K273" s="27">
        <v>61.17</v>
      </c>
      <c r="L273" s="17" t="s">
        <v>19</v>
      </c>
    </row>
    <row r="274" spans="1:12" x14ac:dyDescent="0.25">
      <c r="A274" s="12">
        <v>2020</v>
      </c>
      <c r="B274" s="12" t="s">
        <v>36</v>
      </c>
      <c r="C274" s="12" t="s">
        <v>29</v>
      </c>
      <c r="D274" s="12" t="s">
        <v>24</v>
      </c>
      <c r="E274" s="13">
        <v>56598</v>
      </c>
      <c r="F274" s="23">
        <v>9650777.5319999997</v>
      </c>
      <c r="G274" s="29">
        <v>6.61</v>
      </c>
      <c r="H274" s="29">
        <v>77.650000000000006</v>
      </c>
      <c r="I274" s="12">
        <v>26.15</v>
      </c>
      <c r="J274" s="12">
        <v>69.040000000000006</v>
      </c>
      <c r="K274" s="26">
        <v>88.7</v>
      </c>
      <c r="L274" s="12" t="s">
        <v>17</v>
      </c>
    </row>
    <row r="275" spans="1:12" x14ac:dyDescent="0.25">
      <c r="A275" s="17">
        <v>2020</v>
      </c>
      <c r="B275" s="17" t="s">
        <v>36</v>
      </c>
      <c r="C275" s="17" t="s">
        <v>30</v>
      </c>
      <c r="D275" s="17" t="s">
        <v>24</v>
      </c>
      <c r="E275" s="18">
        <v>8082</v>
      </c>
      <c r="F275" s="24">
        <v>53518254.119999997</v>
      </c>
      <c r="G275" s="30">
        <v>3.35</v>
      </c>
      <c r="H275" s="30">
        <v>102.49</v>
      </c>
      <c r="I275" s="17">
        <v>49.53</v>
      </c>
      <c r="J275" s="17">
        <v>289.41000000000003</v>
      </c>
      <c r="K275" s="27">
        <v>93.02</v>
      </c>
      <c r="L275" s="17" t="s">
        <v>27</v>
      </c>
    </row>
    <row r="276" spans="1:12" x14ac:dyDescent="0.25">
      <c r="A276" s="12">
        <v>2020</v>
      </c>
      <c r="B276" s="12" t="s">
        <v>36</v>
      </c>
      <c r="C276" s="12" t="s">
        <v>31</v>
      </c>
      <c r="D276" s="12" t="s">
        <v>24</v>
      </c>
      <c r="E276" s="13">
        <v>53108</v>
      </c>
      <c r="F276" s="23">
        <v>8982957.7799999993</v>
      </c>
      <c r="G276" s="29">
        <v>6.02</v>
      </c>
      <c r="H276" s="29">
        <v>47.8</v>
      </c>
      <c r="I276" s="12">
        <v>32.450000000000003</v>
      </c>
      <c r="J276" s="12">
        <v>100.39</v>
      </c>
      <c r="K276" s="26">
        <v>59.44</v>
      </c>
      <c r="L276" s="12" t="s">
        <v>17</v>
      </c>
    </row>
    <row r="277" spans="1:12" x14ac:dyDescent="0.25">
      <c r="A277" s="17">
        <v>2020</v>
      </c>
      <c r="B277" s="17" t="s">
        <v>36</v>
      </c>
      <c r="C277" s="17" t="s">
        <v>32</v>
      </c>
      <c r="D277" s="17" t="s">
        <v>24</v>
      </c>
      <c r="E277" s="18">
        <v>42820</v>
      </c>
      <c r="F277" s="24">
        <v>5518854.45599999</v>
      </c>
      <c r="G277" s="30">
        <v>6.58</v>
      </c>
      <c r="H277" s="30">
        <v>41.01</v>
      </c>
      <c r="I277" s="17">
        <v>18.12</v>
      </c>
      <c r="J277" s="17">
        <v>169.67</v>
      </c>
      <c r="K277" s="27">
        <v>79.56</v>
      </c>
      <c r="L277" s="17" t="s">
        <v>27</v>
      </c>
    </row>
    <row r="278" spans="1:12" x14ac:dyDescent="0.25">
      <c r="A278" s="12">
        <v>2020</v>
      </c>
      <c r="B278" s="12" t="s">
        <v>36</v>
      </c>
      <c r="C278" s="12" t="s">
        <v>33</v>
      </c>
      <c r="D278" s="12" t="s">
        <v>24</v>
      </c>
      <c r="E278" s="13">
        <v>55164</v>
      </c>
      <c r="F278" s="23">
        <v>9027240.9240000006</v>
      </c>
      <c r="G278" s="29">
        <v>4.7699999999999996</v>
      </c>
      <c r="H278" s="29">
        <v>48.66</v>
      </c>
      <c r="I278" s="12">
        <v>29.6</v>
      </c>
      <c r="J278" s="12">
        <v>94.48</v>
      </c>
      <c r="K278" s="26">
        <v>55.85</v>
      </c>
      <c r="L278" s="12" t="s">
        <v>27</v>
      </c>
    </row>
    <row r="279" spans="1:12" x14ac:dyDescent="0.25">
      <c r="A279" s="17">
        <v>2020</v>
      </c>
      <c r="B279" s="17" t="s">
        <v>36</v>
      </c>
      <c r="C279" s="17" t="s">
        <v>34</v>
      </c>
      <c r="D279" s="17" t="s">
        <v>24</v>
      </c>
      <c r="E279" s="18">
        <v>12993</v>
      </c>
      <c r="F279" s="24">
        <v>7444019.2560000001</v>
      </c>
      <c r="G279" s="30">
        <v>3.67</v>
      </c>
      <c r="H279" s="30">
        <v>53.23</v>
      </c>
      <c r="I279" s="17">
        <v>49.96</v>
      </c>
      <c r="J279" s="17">
        <v>236.45</v>
      </c>
      <c r="K279" s="27">
        <v>87.73</v>
      </c>
      <c r="L279" s="17" t="s">
        <v>21</v>
      </c>
    </row>
    <row r="280" spans="1:12" x14ac:dyDescent="0.25">
      <c r="A280" s="12">
        <v>2020</v>
      </c>
      <c r="B280" s="12" t="s">
        <v>37</v>
      </c>
      <c r="C280" s="12" t="s">
        <v>13</v>
      </c>
      <c r="D280" s="12" t="s">
        <v>14</v>
      </c>
      <c r="E280" s="13">
        <v>49522</v>
      </c>
      <c r="F280" s="23">
        <v>13749933.390000001</v>
      </c>
      <c r="G280" s="29">
        <v>0.73</v>
      </c>
      <c r="H280" s="29">
        <v>68.38</v>
      </c>
      <c r="I280" s="12">
        <v>46.89</v>
      </c>
      <c r="J280" s="12">
        <v>221.54</v>
      </c>
      <c r="K280" s="26">
        <v>67.28</v>
      </c>
      <c r="L280" s="12" t="s">
        <v>21</v>
      </c>
    </row>
    <row r="281" spans="1:12" x14ac:dyDescent="0.25">
      <c r="A281" s="17">
        <v>2020</v>
      </c>
      <c r="B281" s="17" t="s">
        <v>37</v>
      </c>
      <c r="C281" s="17" t="s">
        <v>16</v>
      </c>
      <c r="D281" s="17" t="s">
        <v>14</v>
      </c>
      <c r="E281" s="18">
        <v>35672</v>
      </c>
      <c r="F281" s="24">
        <v>43822054.960000001</v>
      </c>
      <c r="G281" s="30">
        <v>0.84</v>
      </c>
      <c r="H281" s="30">
        <v>44.22</v>
      </c>
      <c r="I281" s="17">
        <v>46.9</v>
      </c>
      <c r="J281" s="17">
        <v>285.05</v>
      </c>
      <c r="K281" s="27">
        <v>50.09</v>
      </c>
      <c r="L281" s="17" t="s">
        <v>15</v>
      </c>
    </row>
    <row r="282" spans="1:12" x14ac:dyDescent="0.25">
      <c r="A282" s="12">
        <v>2020</v>
      </c>
      <c r="B282" s="12" t="s">
        <v>37</v>
      </c>
      <c r="C282" s="12" t="s">
        <v>18</v>
      </c>
      <c r="D282" s="12" t="s">
        <v>14</v>
      </c>
      <c r="E282" s="13">
        <v>23896</v>
      </c>
      <c r="F282" s="23">
        <v>18747121.280000001</v>
      </c>
      <c r="G282" s="29">
        <v>-0.49</v>
      </c>
      <c r="H282" s="29">
        <v>32.090000000000003</v>
      </c>
      <c r="I282" s="12">
        <v>10.83</v>
      </c>
      <c r="J282" s="12">
        <v>225.49</v>
      </c>
      <c r="K282" s="26">
        <v>56.78</v>
      </c>
      <c r="L282" s="12" t="s">
        <v>19</v>
      </c>
    </row>
    <row r="283" spans="1:12" x14ac:dyDescent="0.25">
      <c r="A283" s="17">
        <v>2020</v>
      </c>
      <c r="B283" s="17" t="s">
        <v>37</v>
      </c>
      <c r="C283" s="17" t="s">
        <v>20</v>
      </c>
      <c r="D283" s="17" t="s">
        <v>14</v>
      </c>
      <c r="E283" s="18">
        <v>7473</v>
      </c>
      <c r="F283" s="24">
        <v>19621770.609999999</v>
      </c>
      <c r="G283" s="30">
        <v>3.88</v>
      </c>
      <c r="H283" s="30">
        <v>74.66</v>
      </c>
      <c r="I283" s="17">
        <v>27.55</v>
      </c>
      <c r="J283" s="17">
        <v>177.22</v>
      </c>
      <c r="K283" s="27">
        <v>72.36</v>
      </c>
      <c r="L283" s="17" t="s">
        <v>21</v>
      </c>
    </row>
    <row r="284" spans="1:12" x14ac:dyDescent="0.25">
      <c r="A284" s="12">
        <v>2020</v>
      </c>
      <c r="B284" s="12" t="s">
        <v>37</v>
      </c>
      <c r="C284" s="12" t="s">
        <v>22</v>
      </c>
      <c r="D284" s="12" t="s">
        <v>14</v>
      </c>
      <c r="E284" s="13">
        <v>11913</v>
      </c>
      <c r="F284" s="23">
        <v>41627181.200000003</v>
      </c>
      <c r="G284" s="29">
        <v>-0.35</v>
      </c>
      <c r="H284" s="29">
        <v>64.459999999999994</v>
      </c>
      <c r="I284" s="12">
        <v>0.83999999999999897</v>
      </c>
      <c r="J284" s="12">
        <v>155.16</v>
      </c>
      <c r="K284" s="26">
        <v>44.89</v>
      </c>
      <c r="L284" s="12" t="s">
        <v>17</v>
      </c>
    </row>
    <row r="285" spans="1:12" x14ac:dyDescent="0.25">
      <c r="A285" s="17">
        <v>2020</v>
      </c>
      <c r="B285" s="17" t="s">
        <v>37</v>
      </c>
      <c r="C285" s="17" t="s">
        <v>23</v>
      </c>
      <c r="D285" s="17" t="s">
        <v>24</v>
      </c>
      <c r="E285" s="18">
        <v>39692</v>
      </c>
      <c r="F285" s="24">
        <v>34859771.57</v>
      </c>
      <c r="G285" s="30">
        <v>6.62</v>
      </c>
      <c r="H285" s="30">
        <v>87.81</v>
      </c>
      <c r="I285" s="17">
        <v>39.64</v>
      </c>
      <c r="J285" s="17">
        <v>189.6</v>
      </c>
      <c r="K285" s="27">
        <v>62.18</v>
      </c>
      <c r="L285" s="17" t="s">
        <v>15</v>
      </c>
    </row>
    <row r="286" spans="1:12" x14ac:dyDescent="0.25">
      <c r="A286" s="12">
        <v>2020</v>
      </c>
      <c r="B286" s="12" t="s">
        <v>37</v>
      </c>
      <c r="C286" s="12" t="s">
        <v>25</v>
      </c>
      <c r="D286" s="12" t="s">
        <v>24</v>
      </c>
      <c r="E286" s="13">
        <v>48805</v>
      </c>
      <c r="F286" s="23">
        <v>32349455.399999999</v>
      </c>
      <c r="G286" s="29">
        <v>4.42</v>
      </c>
      <c r="H286" s="29">
        <v>99.33</v>
      </c>
      <c r="I286" s="12">
        <v>33.79</v>
      </c>
      <c r="J286" s="12">
        <v>96.26</v>
      </c>
      <c r="K286" s="26">
        <v>57.17</v>
      </c>
      <c r="L286" s="12" t="s">
        <v>21</v>
      </c>
    </row>
    <row r="287" spans="1:12" x14ac:dyDescent="0.25">
      <c r="A287" s="17">
        <v>2020</v>
      </c>
      <c r="B287" s="17" t="s">
        <v>37</v>
      </c>
      <c r="C287" s="17" t="s">
        <v>26</v>
      </c>
      <c r="D287" s="17" t="s">
        <v>24</v>
      </c>
      <c r="E287" s="18">
        <v>8115</v>
      </c>
      <c r="F287" s="24">
        <v>44826833.530000001</v>
      </c>
      <c r="G287" s="30">
        <v>4.6500000000000004</v>
      </c>
      <c r="H287" s="30">
        <v>62.42</v>
      </c>
      <c r="I287" s="17">
        <v>41.52</v>
      </c>
      <c r="J287" s="17">
        <v>295.85000000000002</v>
      </c>
      <c r="K287" s="27">
        <v>48.71</v>
      </c>
      <c r="L287" s="17" t="s">
        <v>15</v>
      </c>
    </row>
    <row r="288" spans="1:12" x14ac:dyDescent="0.25">
      <c r="A288" s="12">
        <v>2020</v>
      </c>
      <c r="B288" s="12" t="s">
        <v>37</v>
      </c>
      <c r="C288" s="12" t="s">
        <v>28</v>
      </c>
      <c r="D288" s="12" t="s">
        <v>24</v>
      </c>
      <c r="E288" s="13">
        <v>52951</v>
      </c>
      <c r="F288" s="23">
        <v>13524137.65</v>
      </c>
      <c r="G288" s="29">
        <v>2.83</v>
      </c>
      <c r="H288" s="29">
        <v>73.069999999999993</v>
      </c>
      <c r="I288" s="12">
        <v>27.79</v>
      </c>
      <c r="J288" s="12">
        <v>52.85</v>
      </c>
      <c r="K288" s="26">
        <v>70.84</v>
      </c>
      <c r="L288" s="12" t="s">
        <v>27</v>
      </c>
    </row>
    <row r="289" spans="1:12" x14ac:dyDescent="0.25">
      <c r="A289" s="17">
        <v>2020</v>
      </c>
      <c r="B289" s="17" t="s">
        <v>37</v>
      </c>
      <c r="C289" s="17" t="s">
        <v>29</v>
      </c>
      <c r="D289" s="17" t="s">
        <v>24</v>
      </c>
      <c r="E289" s="18">
        <v>40353</v>
      </c>
      <c r="F289" s="24">
        <v>16476389.24</v>
      </c>
      <c r="G289" s="30">
        <v>3.06</v>
      </c>
      <c r="H289" s="30">
        <v>46.41</v>
      </c>
      <c r="I289" s="17">
        <v>21.11</v>
      </c>
      <c r="J289" s="17">
        <v>194.98</v>
      </c>
      <c r="K289" s="27">
        <v>54.61</v>
      </c>
      <c r="L289" s="17" t="s">
        <v>19</v>
      </c>
    </row>
    <row r="290" spans="1:12" x14ac:dyDescent="0.25">
      <c r="A290" s="12">
        <v>2020</v>
      </c>
      <c r="B290" s="12" t="s">
        <v>37</v>
      </c>
      <c r="C290" s="12" t="s">
        <v>30</v>
      </c>
      <c r="D290" s="12" t="s">
        <v>24</v>
      </c>
      <c r="E290" s="13">
        <v>26015</v>
      </c>
      <c r="F290" s="23">
        <v>13548942.4439999</v>
      </c>
      <c r="G290" s="29">
        <v>5.19</v>
      </c>
      <c r="H290" s="29">
        <v>92.87</v>
      </c>
      <c r="I290" s="12">
        <v>45.67</v>
      </c>
      <c r="J290" s="12">
        <v>248.52</v>
      </c>
      <c r="K290" s="26">
        <v>85.87</v>
      </c>
      <c r="L290" s="12" t="s">
        <v>21</v>
      </c>
    </row>
    <row r="291" spans="1:12" x14ac:dyDescent="0.25">
      <c r="A291" s="17">
        <v>2020</v>
      </c>
      <c r="B291" s="17" t="s">
        <v>37</v>
      </c>
      <c r="C291" s="17" t="s">
        <v>31</v>
      </c>
      <c r="D291" s="17" t="s">
        <v>24</v>
      </c>
      <c r="E291" s="18">
        <v>11163</v>
      </c>
      <c r="F291" s="24">
        <v>12032304.635999899</v>
      </c>
      <c r="G291" s="30">
        <v>3.84</v>
      </c>
      <c r="H291" s="30">
        <v>40.71</v>
      </c>
      <c r="I291" s="17">
        <v>45.09</v>
      </c>
      <c r="J291" s="17">
        <v>122.22</v>
      </c>
      <c r="K291" s="27">
        <v>83.63</v>
      </c>
      <c r="L291" s="17" t="s">
        <v>21</v>
      </c>
    </row>
    <row r="292" spans="1:12" x14ac:dyDescent="0.25">
      <c r="A292" s="12">
        <v>2020</v>
      </c>
      <c r="B292" s="12" t="s">
        <v>37</v>
      </c>
      <c r="C292" s="12" t="s">
        <v>32</v>
      </c>
      <c r="D292" s="12" t="s">
        <v>24</v>
      </c>
      <c r="E292" s="13">
        <v>36975</v>
      </c>
      <c r="F292" s="23">
        <v>33358884.739999998</v>
      </c>
      <c r="G292" s="29">
        <v>5.3599999999999897</v>
      </c>
      <c r="H292" s="29">
        <v>74.28</v>
      </c>
      <c r="I292" s="12">
        <v>33.57</v>
      </c>
      <c r="J292" s="12">
        <v>72.540000000000006</v>
      </c>
      <c r="K292" s="26">
        <v>57.77</v>
      </c>
      <c r="L292" s="12" t="s">
        <v>21</v>
      </c>
    </row>
    <row r="293" spans="1:12" x14ac:dyDescent="0.25">
      <c r="A293" s="17">
        <v>2020</v>
      </c>
      <c r="B293" s="17" t="s">
        <v>37</v>
      </c>
      <c r="C293" s="17" t="s">
        <v>33</v>
      </c>
      <c r="D293" s="17" t="s">
        <v>24</v>
      </c>
      <c r="E293" s="18">
        <v>28163</v>
      </c>
      <c r="F293" s="24">
        <v>76740547.760000005</v>
      </c>
      <c r="G293" s="30">
        <v>6.5</v>
      </c>
      <c r="H293" s="30">
        <v>49.19</v>
      </c>
      <c r="I293" s="17">
        <v>23.05</v>
      </c>
      <c r="J293" s="17">
        <v>154.41999999999999</v>
      </c>
      <c r="K293" s="27">
        <v>78.77</v>
      </c>
      <c r="L293" s="17" t="s">
        <v>17</v>
      </c>
    </row>
    <row r="294" spans="1:12" x14ac:dyDescent="0.25">
      <c r="A294" s="12">
        <v>2020</v>
      </c>
      <c r="B294" s="12" t="s">
        <v>37</v>
      </c>
      <c r="C294" s="12" t="s">
        <v>34</v>
      </c>
      <c r="D294" s="12" t="s">
        <v>24</v>
      </c>
      <c r="E294" s="13">
        <v>49246</v>
      </c>
      <c r="F294" s="23">
        <v>5030391.84</v>
      </c>
      <c r="G294" s="29">
        <v>6.07</v>
      </c>
      <c r="H294" s="29">
        <v>51.07</v>
      </c>
      <c r="I294" s="12">
        <v>47.75</v>
      </c>
      <c r="J294" s="12">
        <v>137.41999999999999</v>
      </c>
      <c r="K294" s="26">
        <v>71.5</v>
      </c>
      <c r="L294" s="12" t="s">
        <v>19</v>
      </c>
    </row>
    <row r="295" spans="1:12" x14ac:dyDescent="0.25">
      <c r="A295" s="17">
        <v>2020</v>
      </c>
      <c r="B295" s="17" t="s">
        <v>35</v>
      </c>
      <c r="C295" s="17" t="s">
        <v>26</v>
      </c>
      <c r="D295" s="17" t="s">
        <v>24</v>
      </c>
      <c r="E295" s="18">
        <v>63974</v>
      </c>
      <c r="F295" s="24">
        <v>66783552.340000004</v>
      </c>
      <c r="G295" s="30">
        <v>4.99</v>
      </c>
      <c r="H295" s="30">
        <v>43.38</v>
      </c>
      <c r="I295" s="17">
        <v>39.44</v>
      </c>
      <c r="J295" s="17">
        <v>264.14999999999998</v>
      </c>
      <c r="K295" s="27">
        <v>79.22</v>
      </c>
      <c r="L295" s="17" t="s">
        <v>19</v>
      </c>
    </row>
    <row r="296" spans="1:12" x14ac:dyDescent="0.25">
      <c r="A296" s="12">
        <v>2020</v>
      </c>
      <c r="B296" s="12" t="s">
        <v>35</v>
      </c>
      <c r="C296" s="12" t="s">
        <v>23</v>
      </c>
      <c r="D296" s="12" t="s">
        <v>24</v>
      </c>
      <c r="E296" s="13">
        <v>51214</v>
      </c>
      <c r="F296" s="23">
        <v>22604101.449999999</v>
      </c>
      <c r="G296" s="29">
        <v>3.88</v>
      </c>
      <c r="H296" s="29">
        <v>98.74</v>
      </c>
      <c r="I296" s="12">
        <v>29.87</v>
      </c>
      <c r="J296" s="12">
        <v>153.44999999999999</v>
      </c>
      <c r="K296" s="26">
        <v>54.94</v>
      </c>
      <c r="L296" s="12" t="s">
        <v>21</v>
      </c>
    </row>
    <row r="297" spans="1:12" x14ac:dyDescent="0.25">
      <c r="A297" s="17">
        <v>2020</v>
      </c>
      <c r="B297" s="17" t="s">
        <v>12</v>
      </c>
      <c r="C297" s="17" t="s">
        <v>28</v>
      </c>
      <c r="D297" s="17" t="s">
        <v>24</v>
      </c>
      <c r="E297" s="18">
        <v>11438</v>
      </c>
      <c r="F297" s="24">
        <v>56002244.289999999</v>
      </c>
      <c r="G297" s="30">
        <v>6.33</v>
      </c>
      <c r="H297" s="30">
        <v>93.95</v>
      </c>
      <c r="I297" s="17">
        <v>52.02</v>
      </c>
      <c r="J297" s="17">
        <v>168.24</v>
      </c>
      <c r="K297" s="27">
        <v>63.04</v>
      </c>
      <c r="L297" s="17" t="s">
        <v>15</v>
      </c>
    </row>
    <row r="298" spans="1:12" x14ac:dyDescent="0.25">
      <c r="A298" s="12">
        <v>2020</v>
      </c>
      <c r="B298" s="12" t="s">
        <v>37</v>
      </c>
      <c r="C298" s="12" t="s">
        <v>16</v>
      </c>
      <c r="D298" s="12" t="s">
        <v>14</v>
      </c>
      <c r="E298" s="13">
        <v>35672</v>
      </c>
      <c r="F298" s="23">
        <v>43822054.960000001</v>
      </c>
      <c r="G298" s="29">
        <v>0.84</v>
      </c>
      <c r="H298" s="29">
        <v>44.22</v>
      </c>
      <c r="I298" s="12">
        <v>46.9</v>
      </c>
      <c r="J298" s="12">
        <v>285.05</v>
      </c>
      <c r="K298" s="26">
        <v>50.09</v>
      </c>
      <c r="L298" s="12" t="s">
        <v>15</v>
      </c>
    </row>
    <row r="299" spans="1:12" x14ac:dyDescent="0.25">
      <c r="A299" s="17">
        <v>2020</v>
      </c>
      <c r="B299" s="17" t="s">
        <v>37</v>
      </c>
      <c r="C299" s="17" t="s">
        <v>16</v>
      </c>
      <c r="D299" s="17" t="s">
        <v>14</v>
      </c>
      <c r="E299" s="18">
        <v>35672</v>
      </c>
      <c r="F299" s="24">
        <v>43822054.960000001</v>
      </c>
      <c r="G299" s="30">
        <v>0.84</v>
      </c>
      <c r="H299" s="30">
        <v>44.22</v>
      </c>
      <c r="I299" s="17">
        <v>46.9</v>
      </c>
      <c r="J299" s="17">
        <v>285.05</v>
      </c>
      <c r="K299" s="27">
        <v>50.09</v>
      </c>
      <c r="L299" s="17" t="s">
        <v>15</v>
      </c>
    </row>
    <row r="300" spans="1:12" x14ac:dyDescent="0.25">
      <c r="A300" s="12">
        <v>2020</v>
      </c>
      <c r="B300" s="12" t="s">
        <v>35</v>
      </c>
      <c r="C300" s="12" t="s">
        <v>31</v>
      </c>
      <c r="D300" s="12" t="s">
        <v>24</v>
      </c>
      <c r="E300" s="13">
        <v>61462</v>
      </c>
      <c r="F300" s="23">
        <v>55137531.491999902</v>
      </c>
      <c r="G300" s="29">
        <v>5.7799999999999896</v>
      </c>
      <c r="H300" s="29">
        <v>89.44</v>
      </c>
      <c r="I300" s="12">
        <v>51.04</v>
      </c>
      <c r="J300" s="12">
        <v>280.82</v>
      </c>
      <c r="K300" s="26">
        <v>85.04</v>
      </c>
      <c r="L300" s="12" t="s">
        <v>17</v>
      </c>
    </row>
    <row r="301" spans="1:12" x14ac:dyDescent="0.25">
      <c r="A301" s="17">
        <v>2020</v>
      </c>
      <c r="B301" s="17" t="s">
        <v>36</v>
      </c>
      <c r="C301" s="17" t="s">
        <v>28</v>
      </c>
      <c r="D301" s="17" t="s">
        <v>24</v>
      </c>
      <c r="E301" s="18">
        <v>33872</v>
      </c>
      <c r="F301" s="24">
        <v>60050676.799999997</v>
      </c>
      <c r="G301" s="30">
        <v>2.94</v>
      </c>
      <c r="H301" s="30">
        <v>88.63</v>
      </c>
      <c r="I301" s="17">
        <v>27.11</v>
      </c>
      <c r="J301" s="17">
        <v>186.09</v>
      </c>
      <c r="K301" s="27">
        <v>61.17</v>
      </c>
      <c r="L301" s="17" t="s">
        <v>19</v>
      </c>
    </row>
    <row r="302" spans="1:12" x14ac:dyDescent="0.25">
      <c r="A302" s="12">
        <v>2020</v>
      </c>
      <c r="B302" s="12" t="s">
        <v>12</v>
      </c>
      <c r="C302" s="12" t="s">
        <v>34</v>
      </c>
      <c r="D302" s="12" t="s">
        <v>24</v>
      </c>
      <c r="E302" s="13">
        <v>53118</v>
      </c>
      <c r="F302" s="23">
        <v>71564619.920000002</v>
      </c>
      <c r="G302" s="29">
        <v>4.21</v>
      </c>
      <c r="H302" s="29">
        <v>103.57</v>
      </c>
      <c r="I302" s="12">
        <v>52.17</v>
      </c>
      <c r="J302" s="12">
        <v>120.41</v>
      </c>
      <c r="K302" s="26">
        <v>76.81</v>
      </c>
      <c r="L302" s="12" t="s">
        <v>21</v>
      </c>
    </row>
    <row r="303" spans="1:12" x14ac:dyDescent="0.25">
      <c r="A303" s="17">
        <v>2020</v>
      </c>
      <c r="B303" s="17" t="s">
        <v>35</v>
      </c>
      <c r="C303" s="17" t="s">
        <v>22</v>
      </c>
      <c r="D303" s="17" t="s">
        <v>14</v>
      </c>
      <c r="E303" s="18">
        <v>8601</v>
      </c>
      <c r="F303" s="24">
        <v>32922566.239999998</v>
      </c>
      <c r="G303" s="30">
        <v>2.99</v>
      </c>
      <c r="H303" s="30">
        <v>82.16</v>
      </c>
      <c r="I303" s="17">
        <v>47.56</v>
      </c>
      <c r="J303" s="17">
        <v>139.41999999999999</v>
      </c>
      <c r="K303" s="27">
        <v>52.96</v>
      </c>
      <c r="L303" s="17" t="s">
        <v>15</v>
      </c>
    </row>
    <row r="304" spans="1:12" x14ac:dyDescent="0.25">
      <c r="A304" s="12">
        <v>2020</v>
      </c>
      <c r="B304" s="12" t="s">
        <v>37</v>
      </c>
      <c r="C304" s="12" t="s">
        <v>25</v>
      </c>
      <c r="D304" s="12" t="s">
        <v>24</v>
      </c>
      <c r="E304" s="13">
        <v>48805</v>
      </c>
      <c r="F304" s="23">
        <v>32349455.399999999</v>
      </c>
      <c r="G304" s="29">
        <v>4.42</v>
      </c>
      <c r="H304" s="29">
        <v>99.33</v>
      </c>
      <c r="I304" s="12">
        <v>33.79</v>
      </c>
      <c r="J304" s="12">
        <v>96.26</v>
      </c>
      <c r="K304" s="26">
        <v>57.17</v>
      </c>
      <c r="L304" s="12" t="s">
        <v>21</v>
      </c>
    </row>
    <row r="305" spans="1:12" x14ac:dyDescent="0.25">
      <c r="A305" s="17">
        <v>2020</v>
      </c>
      <c r="B305" s="17" t="s">
        <v>36</v>
      </c>
      <c r="C305" s="17" t="s">
        <v>25</v>
      </c>
      <c r="D305" s="17" t="s">
        <v>24</v>
      </c>
      <c r="E305" s="18">
        <v>63137</v>
      </c>
      <c r="F305" s="24">
        <v>23567297.829999998</v>
      </c>
      <c r="G305" s="30">
        <v>4.79</v>
      </c>
      <c r="H305" s="30">
        <v>66.150000000000006</v>
      </c>
      <c r="I305" s="17">
        <v>49.64</v>
      </c>
      <c r="J305" s="17">
        <v>94.47</v>
      </c>
      <c r="K305" s="27">
        <v>82.6</v>
      </c>
      <c r="L305" s="17" t="s">
        <v>21</v>
      </c>
    </row>
    <row r="306" spans="1:12" x14ac:dyDescent="0.25">
      <c r="A306" s="12">
        <v>2020</v>
      </c>
      <c r="B306" s="12" t="s">
        <v>36</v>
      </c>
      <c r="C306" s="12" t="s">
        <v>29</v>
      </c>
      <c r="D306" s="12" t="s">
        <v>24</v>
      </c>
      <c r="E306" s="13">
        <v>56598</v>
      </c>
      <c r="F306" s="23">
        <v>9650777.5319999997</v>
      </c>
      <c r="G306" s="29">
        <v>6.61</v>
      </c>
      <c r="H306" s="29">
        <v>77.650000000000006</v>
      </c>
      <c r="I306" s="12">
        <v>26.15</v>
      </c>
      <c r="J306" s="12">
        <v>69.040000000000006</v>
      </c>
      <c r="K306" s="26">
        <v>88.7</v>
      </c>
      <c r="L306" s="12" t="s">
        <v>17</v>
      </c>
    </row>
    <row r="307" spans="1:12" x14ac:dyDescent="0.25">
      <c r="A307" s="17">
        <v>2020</v>
      </c>
      <c r="B307" s="17" t="s">
        <v>12</v>
      </c>
      <c r="C307" s="17" t="s">
        <v>16</v>
      </c>
      <c r="D307" s="17" t="s">
        <v>14</v>
      </c>
      <c r="E307" s="18">
        <v>21472</v>
      </c>
      <c r="F307" s="24">
        <v>34965645.310000002</v>
      </c>
      <c r="G307" s="30">
        <v>0.25</v>
      </c>
      <c r="H307" s="30">
        <v>49.22</v>
      </c>
      <c r="I307" s="17">
        <v>24.99</v>
      </c>
      <c r="J307" s="17">
        <v>247.01</v>
      </c>
      <c r="K307" s="27">
        <v>80.17</v>
      </c>
      <c r="L307" s="17" t="s">
        <v>17</v>
      </c>
    </row>
    <row r="308" spans="1:12" x14ac:dyDescent="0.25">
      <c r="A308" s="12">
        <v>2020</v>
      </c>
      <c r="B308" s="12" t="s">
        <v>37</v>
      </c>
      <c r="C308" s="12" t="s">
        <v>32</v>
      </c>
      <c r="D308" s="12" t="s">
        <v>24</v>
      </c>
      <c r="E308" s="13">
        <v>36975</v>
      </c>
      <c r="F308" s="23">
        <v>33358884.739999998</v>
      </c>
      <c r="G308" s="29">
        <v>5.3599999999999897</v>
      </c>
      <c r="H308" s="29">
        <v>74.28</v>
      </c>
      <c r="I308" s="12">
        <v>33.57</v>
      </c>
      <c r="J308" s="12">
        <v>72.540000000000006</v>
      </c>
      <c r="K308" s="26">
        <v>57.77</v>
      </c>
      <c r="L308" s="12" t="s">
        <v>21</v>
      </c>
    </row>
    <row r="309" spans="1:12" x14ac:dyDescent="0.25">
      <c r="A309" s="17">
        <v>2020</v>
      </c>
      <c r="B309" s="17" t="s">
        <v>36</v>
      </c>
      <c r="C309" s="17" t="s">
        <v>25</v>
      </c>
      <c r="D309" s="17" t="s">
        <v>24</v>
      </c>
      <c r="E309" s="18">
        <v>63137</v>
      </c>
      <c r="F309" s="24">
        <v>23567297.829999998</v>
      </c>
      <c r="G309" s="30">
        <v>4.79</v>
      </c>
      <c r="H309" s="30">
        <v>66.150000000000006</v>
      </c>
      <c r="I309" s="17">
        <v>49.64</v>
      </c>
      <c r="J309" s="17">
        <v>94.47</v>
      </c>
      <c r="K309" s="27">
        <v>82.6</v>
      </c>
      <c r="L309" s="17" t="s">
        <v>21</v>
      </c>
    </row>
    <row r="310" spans="1:12" x14ac:dyDescent="0.25">
      <c r="A310" s="12">
        <v>2020</v>
      </c>
      <c r="B310" s="12" t="s">
        <v>36</v>
      </c>
      <c r="C310" s="12" t="s">
        <v>22</v>
      </c>
      <c r="D310" s="12" t="s">
        <v>14</v>
      </c>
      <c r="E310" s="13">
        <v>44767</v>
      </c>
      <c r="F310" s="23">
        <v>6397386.2189999996</v>
      </c>
      <c r="G310" s="29">
        <v>2.66</v>
      </c>
      <c r="H310" s="29">
        <v>65.67</v>
      </c>
      <c r="I310" s="12">
        <v>24.92</v>
      </c>
      <c r="J310" s="12">
        <v>94.9</v>
      </c>
      <c r="K310" s="26">
        <v>53.63</v>
      </c>
      <c r="L310" s="12" t="s">
        <v>19</v>
      </c>
    </row>
    <row r="311" spans="1:12" x14ac:dyDescent="0.25">
      <c r="A311" s="17">
        <v>2020</v>
      </c>
      <c r="B311" s="17" t="s">
        <v>36</v>
      </c>
      <c r="C311" s="17" t="s">
        <v>23</v>
      </c>
      <c r="D311" s="17" t="s">
        <v>24</v>
      </c>
      <c r="E311" s="18">
        <v>29628</v>
      </c>
      <c r="F311" s="24">
        <v>50812407.275999904</v>
      </c>
      <c r="G311" s="30">
        <v>5.1099999999999897</v>
      </c>
      <c r="H311" s="30">
        <v>88.32</v>
      </c>
      <c r="I311" s="17">
        <v>13.49</v>
      </c>
      <c r="J311" s="17">
        <v>66.69</v>
      </c>
      <c r="K311" s="27">
        <v>63.04</v>
      </c>
      <c r="L311" s="17" t="s">
        <v>15</v>
      </c>
    </row>
    <row r="312" spans="1:12" x14ac:dyDescent="0.25">
      <c r="A312" s="12">
        <v>2020</v>
      </c>
      <c r="B312" s="12" t="s">
        <v>35</v>
      </c>
      <c r="C312" s="12" t="s">
        <v>16</v>
      </c>
      <c r="D312" s="12" t="s">
        <v>14</v>
      </c>
      <c r="E312" s="13">
        <v>8785</v>
      </c>
      <c r="F312" s="23">
        <v>16339172.24</v>
      </c>
      <c r="G312" s="29">
        <v>-0.36</v>
      </c>
      <c r="H312" s="29">
        <v>50.5</v>
      </c>
      <c r="I312" s="12">
        <v>16.16</v>
      </c>
      <c r="J312" s="12">
        <v>96.06</v>
      </c>
      <c r="K312" s="26">
        <v>70.489999999999995</v>
      </c>
      <c r="L312" s="12" t="s">
        <v>27</v>
      </c>
    </row>
    <row r="313" spans="1:12" x14ac:dyDescent="0.25">
      <c r="A313" s="17">
        <v>2020</v>
      </c>
      <c r="B313" s="17" t="s">
        <v>12</v>
      </c>
      <c r="C313" s="17" t="s">
        <v>26</v>
      </c>
      <c r="D313" s="17" t="s">
        <v>24</v>
      </c>
      <c r="E313" s="18">
        <v>48484</v>
      </c>
      <c r="F313" s="24">
        <v>10752134.16</v>
      </c>
      <c r="G313" s="30">
        <v>3.75</v>
      </c>
      <c r="H313" s="30">
        <v>41.49</v>
      </c>
      <c r="I313" s="17">
        <v>10.67</v>
      </c>
      <c r="J313" s="17">
        <v>87.88</v>
      </c>
      <c r="K313" s="27">
        <v>79.09</v>
      </c>
      <c r="L313" s="17" t="s">
        <v>19</v>
      </c>
    </row>
    <row r="314" spans="1:12" x14ac:dyDescent="0.25">
      <c r="A314" s="12">
        <v>2020</v>
      </c>
      <c r="B314" s="12" t="s">
        <v>35</v>
      </c>
      <c r="C314" s="12" t="s">
        <v>22</v>
      </c>
      <c r="D314" s="12" t="s">
        <v>14</v>
      </c>
      <c r="E314" s="13">
        <v>8601</v>
      </c>
      <c r="F314" s="23">
        <v>32922566.239999998</v>
      </c>
      <c r="G314" s="29">
        <v>2.99</v>
      </c>
      <c r="H314" s="29">
        <v>82.16</v>
      </c>
      <c r="I314" s="12">
        <v>47.56</v>
      </c>
      <c r="J314" s="12">
        <v>139.41999999999999</v>
      </c>
      <c r="K314" s="26">
        <v>52.96</v>
      </c>
      <c r="L314" s="12" t="s">
        <v>15</v>
      </c>
    </row>
    <row r="315" spans="1:12" x14ac:dyDescent="0.25">
      <c r="A315" s="17">
        <v>2020</v>
      </c>
      <c r="B315" s="17" t="s">
        <v>35</v>
      </c>
      <c r="C315" s="17" t="s">
        <v>34</v>
      </c>
      <c r="D315" s="17" t="s">
        <v>24</v>
      </c>
      <c r="E315" s="18">
        <v>47830</v>
      </c>
      <c r="F315" s="24">
        <v>79207664.340000004</v>
      </c>
      <c r="G315" s="30">
        <v>3.46</v>
      </c>
      <c r="H315" s="30">
        <v>58.97</v>
      </c>
      <c r="I315" s="17">
        <v>52.43</v>
      </c>
      <c r="J315" s="17">
        <v>236.28</v>
      </c>
      <c r="K315" s="27">
        <v>50.08</v>
      </c>
      <c r="L315" s="17" t="s">
        <v>15</v>
      </c>
    </row>
    <row r="316" spans="1:12" x14ac:dyDescent="0.25">
      <c r="A316" s="12">
        <v>2020</v>
      </c>
      <c r="B316" s="12" t="s">
        <v>12</v>
      </c>
      <c r="C316" s="12" t="s">
        <v>28</v>
      </c>
      <c r="D316" s="12" t="s">
        <v>24</v>
      </c>
      <c r="E316" s="13">
        <v>11438</v>
      </c>
      <c r="F316" s="23">
        <v>56002244.289999999</v>
      </c>
      <c r="G316" s="29">
        <v>6.33</v>
      </c>
      <c r="H316" s="29">
        <v>93.95</v>
      </c>
      <c r="I316" s="12">
        <v>52.02</v>
      </c>
      <c r="J316" s="12">
        <v>168.24</v>
      </c>
      <c r="K316" s="26">
        <v>63.04</v>
      </c>
      <c r="L316" s="12" t="s">
        <v>15</v>
      </c>
    </row>
    <row r="317" spans="1:12" x14ac:dyDescent="0.25">
      <c r="A317" s="17">
        <v>2020</v>
      </c>
      <c r="B317" s="17" t="s">
        <v>35</v>
      </c>
      <c r="C317" s="17" t="s">
        <v>34</v>
      </c>
      <c r="D317" s="17" t="s">
        <v>24</v>
      </c>
      <c r="E317" s="18">
        <v>47830</v>
      </c>
      <c r="F317" s="24">
        <v>79207664.340000004</v>
      </c>
      <c r="G317" s="30">
        <v>3.46</v>
      </c>
      <c r="H317" s="30">
        <v>58.97</v>
      </c>
      <c r="I317" s="17">
        <v>52.43</v>
      </c>
      <c r="J317" s="17">
        <v>236.28</v>
      </c>
      <c r="K317" s="27">
        <v>50.08</v>
      </c>
      <c r="L317" s="17" t="s">
        <v>15</v>
      </c>
    </row>
    <row r="318" spans="1:12" x14ac:dyDescent="0.25">
      <c r="A318" s="12">
        <v>2020</v>
      </c>
      <c r="B318" s="12" t="s">
        <v>37</v>
      </c>
      <c r="C318" s="12" t="s">
        <v>31</v>
      </c>
      <c r="D318" s="12" t="s">
        <v>24</v>
      </c>
      <c r="E318" s="13">
        <v>11163</v>
      </c>
      <c r="F318" s="23">
        <v>12032304.635999899</v>
      </c>
      <c r="G318" s="29">
        <v>3.84</v>
      </c>
      <c r="H318" s="29">
        <v>40.71</v>
      </c>
      <c r="I318" s="12">
        <v>45.09</v>
      </c>
      <c r="J318" s="12">
        <v>122.22</v>
      </c>
      <c r="K318" s="26">
        <v>83.63</v>
      </c>
      <c r="L318" s="12" t="s">
        <v>21</v>
      </c>
    </row>
    <row r="319" spans="1:12" x14ac:dyDescent="0.25">
      <c r="A319" s="17">
        <v>2020</v>
      </c>
      <c r="B319" s="17" t="s">
        <v>36</v>
      </c>
      <c r="C319" s="17" t="s">
        <v>31</v>
      </c>
      <c r="D319" s="17" t="s">
        <v>24</v>
      </c>
      <c r="E319" s="18">
        <v>53108</v>
      </c>
      <c r="F319" s="24">
        <v>8982957.7799999993</v>
      </c>
      <c r="G319" s="30">
        <v>6.02</v>
      </c>
      <c r="H319" s="30">
        <v>47.8</v>
      </c>
      <c r="I319" s="17">
        <v>32.450000000000003</v>
      </c>
      <c r="J319" s="17">
        <v>100.39</v>
      </c>
      <c r="K319" s="27">
        <v>59.44</v>
      </c>
      <c r="L319" s="17" t="s">
        <v>17</v>
      </c>
    </row>
    <row r="320" spans="1:12" x14ac:dyDescent="0.25">
      <c r="A320" s="12">
        <v>2020</v>
      </c>
      <c r="B320" s="12" t="s">
        <v>12</v>
      </c>
      <c r="C320" s="12" t="s">
        <v>23</v>
      </c>
      <c r="D320" s="12" t="s">
        <v>24</v>
      </c>
      <c r="E320" s="13">
        <v>42883</v>
      </c>
      <c r="F320" s="23">
        <v>18588730.370000001</v>
      </c>
      <c r="G320" s="29">
        <v>6.37</v>
      </c>
      <c r="H320" s="29">
        <v>72.87</v>
      </c>
      <c r="I320" s="12">
        <v>45.86</v>
      </c>
      <c r="J320" s="12">
        <v>273.58999999999997</v>
      </c>
      <c r="K320" s="26">
        <v>52.9</v>
      </c>
      <c r="L320" s="12" t="s">
        <v>15</v>
      </c>
    </row>
    <row r="321" spans="1:12" x14ac:dyDescent="0.25">
      <c r="A321" s="17">
        <v>2020</v>
      </c>
      <c r="B321" s="17" t="s">
        <v>37</v>
      </c>
      <c r="C321" s="17" t="s">
        <v>20</v>
      </c>
      <c r="D321" s="17" t="s">
        <v>14</v>
      </c>
      <c r="E321" s="18">
        <v>7473</v>
      </c>
      <c r="F321" s="24">
        <v>19621770.609999999</v>
      </c>
      <c r="G321" s="30">
        <v>3.88</v>
      </c>
      <c r="H321" s="30">
        <v>74.66</v>
      </c>
      <c r="I321" s="17">
        <v>27.55</v>
      </c>
      <c r="J321" s="17">
        <v>177.22</v>
      </c>
      <c r="K321" s="27">
        <v>72.36</v>
      </c>
      <c r="L321" s="17" t="s">
        <v>21</v>
      </c>
    </row>
    <row r="322" spans="1:12" x14ac:dyDescent="0.25">
      <c r="A322" s="12">
        <v>2020</v>
      </c>
      <c r="B322" s="12" t="s">
        <v>36</v>
      </c>
      <c r="C322" s="12" t="s">
        <v>22</v>
      </c>
      <c r="D322" s="12" t="s">
        <v>14</v>
      </c>
      <c r="E322" s="13">
        <v>44767</v>
      </c>
      <c r="F322" s="23">
        <v>6397386.2189999996</v>
      </c>
      <c r="G322" s="29">
        <v>2.66</v>
      </c>
      <c r="H322" s="29">
        <v>65.67</v>
      </c>
      <c r="I322" s="12">
        <v>24.92</v>
      </c>
      <c r="J322" s="12">
        <v>94.9</v>
      </c>
      <c r="K322" s="26">
        <v>53.63</v>
      </c>
      <c r="L322" s="12" t="s">
        <v>19</v>
      </c>
    </row>
    <row r="323" spans="1:12" x14ac:dyDescent="0.25">
      <c r="A323" s="17">
        <v>2020</v>
      </c>
      <c r="B323" s="17" t="s">
        <v>37</v>
      </c>
      <c r="C323" s="17" t="s">
        <v>20</v>
      </c>
      <c r="D323" s="17" t="s">
        <v>14</v>
      </c>
      <c r="E323" s="18">
        <v>7473</v>
      </c>
      <c r="F323" s="24">
        <v>19621770.609999999</v>
      </c>
      <c r="G323" s="30">
        <v>3.88</v>
      </c>
      <c r="H323" s="30">
        <v>74.66</v>
      </c>
      <c r="I323" s="17">
        <v>27.55</v>
      </c>
      <c r="J323" s="17">
        <v>177.22</v>
      </c>
      <c r="K323" s="27">
        <v>72.36</v>
      </c>
      <c r="L323" s="17" t="s">
        <v>21</v>
      </c>
    </row>
    <row r="324" spans="1:12" x14ac:dyDescent="0.25">
      <c r="A324" s="12">
        <v>2020</v>
      </c>
      <c r="B324" s="12" t="s">
        <v>36</v>
      </c>
      <c r="C324" s="12" t="s">
        <v>26</v>
      </c>
      <c r="D324" s="12" t="s">
        <v>24</v>
      </c>
      <c r="E324" s="13">
        <v>56115</v>
      </c>
      <c r="F324" s="23">
        <v>16158944.449999999</v>
      </c>
      <c r="G324" s="29">
        <v>6.22</v>
      </c>
      <c r="H324" s="29">
        <v>91.44</v>
      </c>
      <c r="I324" s="12">
        <v>29.96</v>
      </c>
      <c r="J324" s="12">
        <v>193.54</v>
      </c>
      <c r="K324" s="26">
        <v>89.31</v>
      </c>
      <c r="L324" s="12" t="s">
        <v>27</v>
      </c>
    </row>
    <row r="325" spans="1:12" x14ac:dyDescent="0.25">
      <c r="A325" s="17">
        <v>2020</v>
      </c>
      <c r="B325" s="17" t="s">
        <v>36</v>
      </c>
      <c r="C325" s="17" t="s">
        <v>18</v>
      </c>
      <c r="D325" s="17" t="s">
        <v>14</v>
      </c>
      <c r="E325" s="18">
        <v>7511</v>
      </c>
      <c r="F325" s="24">
        <v>31385211.280000001</v>
      </c>
      <c r="G325" s="30">
        <v>1.48</v>
      </c>
      <c r="H325" s="30">
        <v>60</v>
      </c>
      <c r="I325" s="17">
        <v>1.68</v>
      </c>
      <c r="J325" s="17">
        <v>52.52</v>
      </c>
      <c r="K325" s="27">
        <v>85.45</v>
      </c>
      <c r="L325" s="17" t="s">
        <v>21</v>
      </c>
    </row>
    <row r="326" spans="1:12" x14ac:dyDescent="0.25">
      <c r="A326" s="12">
        <v>2020</v>
      </c>
      <c r="B326" s="12" t="s">
        <v>36</v>
      </c>
      <c r="C326" s="12" t="s">
        <v>26</v>
      </c>
      <c r="D326" s="12" t="s">
        <v>24</v>
      </c>
      <c r="E326" s="13">
        <v>56115</v>
      </c>
      <c r="F326" s="23">
        <v>16158944.449999999</v>
      </c>
      <c r="G326" s="29">
        <v>6.22</v>
      </c>
      <c r="H326" s="29">
        <v>91.44</v>
      </c>
      <c r="I326" s="12">
        <v>29.96</v>
      </c>
      <c r="J326" s="12">
        <v>193.54</v>
      </c>
      <c r="K326" s="26">
        <v>89.31</v>
      </c>
      <c r="L326" s="12" t="s">
        <v>27</v>
      </c>
    </row>
    <row r="327" spans="1:12" x14ac:dyDescent="0.25">
      <c r="A327" s="17">
        <v>2020</v>
      </c>
      <c r="B327" s="17" t="s">
        <v>35</v>
      </c>
      <c r="C327" s="17" t="s">
        <v>33</v>
      </c>
      <c r="D327" s="17" t="s">
        <v>24</v>
      </c>
      <c r="E327" s="18">
        <v>53896</v>
      </c>
      <c r="F327" s="24">
        <v>47982928.727999903</v>
      </c>
      <c r="G327" s="30">
        <v>3.17</v>
      </c>
      <c r="H327" s="30">
        <v>75.16</v>
      </c>
      <c r="I327" s="17">
        <v>22.74</v>
      </c>
      <c r="J327" s="17">
        <v>92.93</v>
      </c>
      <c r="K327" s="27">
        <v>86.89</v>
      </c>
      <c r="L327" s="17" t="s">
        <v>17</v>
      </c>
    </row>
    <row r="328" spans="1:12" x14ac:dyDescent="0.25">
      <c r="A328" s="12">
        <v>2020</v>
      </c>
      <c r="B328" s="12" t="s">
        <v>37</v>
      </c>
      <c r="C328" s="12" t="s">
        <v>25</v>
      </c>
      <c r="D328" s="12" t="s">
        <v>24</v>
      </c>
      <c r="E328" s="13">
        <v>48805</v>
      </c>
      <c r="F328" s="23">
        <v>32349455.399999999</v>
      </c>
      <c r="G328" s="29">
        <v>4.42</v>
      </c>
      <c r="H328" s="29">
        <v>99.33</v>
      </c>
      <c r="I328" s="12">
        <v>33.79</v>
      </c>
      <c r="J328" s="12">
        <v>96.26</v>
      </c>
      <c r="K328" s="26">
        <v>57.17</v>
      </c>
      <c r="L328" s="12" t="s">
        <v>21</v>
      </c>
    </row>
    <row r="329" spans="1:12" x14ac:dyDescent="0.25">
      <c r="A329" s="17">
        <v>2020</v>
      </c>
      <c r="B329" s="17" t="s">
        <v>12</v>
      </c>
      <c r="C329" s="17" t="s">
        <v>22</v>
      </c>
      <c r="D329" s="17" t="s">
        <v>14</v>
      </c>
      <c r="E329" s="18">
        <v>18546</v>
      </c>
      <c r="F329" s="24">
        <v>42315159.990000002</v>
      </c>
      <c r="G329" s="30">
        <v>1.81</v>
      </c>
      <c r="H329" s="30">
        <v>58.09</v>
      </c>
      <c r="I329" s="17">
        <v>33.08</v>
      </c>
      <c r="J329" s="17">
        <v>110.9</v>
      </c>
      <c r="K329" s="27">
        <v>49.63</v>
      </c>
      <c r="L329" s="17" t="s">
        <v>17</v>
      </c>
    </row>
    <row r="330" spans="1:12" x14ac:dyDescent="0.25">
      <c r="A330" s="12">
        <v>2020</v>
      </c>
      <c r="B330" s="12" t="s">
        <v>35</v>
      </c>
      <c r="C330" s="12" t="s">
        <v>20</v>
      </c>
      <c r="D330" s="12" t="s">
        <v>14</v>
      </c>
      <c r="E330" s="13">
        <v>29178</v>
      </c>
      <c r="F330" s="23">
        <v>41803911.049999997</v>
      </c>
      <c r="G330" s="29">
        <v>2.59</v>
      </c>
      <c r="H330" s="29">
        <v>47.84</v>
      </c>
      <c r="I330" s="12">
        <v>16.52</v>
      </c>
      <c r="J330" s="12">
        <v>134.32</v>
      </c>
      <c r="K330" s="26">
        <v>74.930000000000007</v>
      </c>
      <c r="L330" s="12" t="s">
        <v>17</v>
      </c>
    </row>
    <row r="331" spans="1:12" x14ac:dyDescent="0.25">
      <c r="A331" s="17">
        <v>2020</v>
      </c>
      <c r="B331" s="17" t="s">
        <v>12</v>
      </c>
      <c r="C331" s="17" t="s">
        <v>25</v>
      </c>
      <c r="D331" s="17" t="s">
        <v>24</v>
      </c>
      <c r="E331" s="18">
        <v>49662</v>
      </c>
      <c r="F331" s="24">
        <v>52134225.079999998</v>
      </c>
      <c r="G331" s="30">
        <v>2.9</v>
      </c>
      <c r="H331" s="30">
        <v>96.42</v>
      </c>
      <c r="I331" s="17">
        <v>52.2</v>
      </c>
      <c r="J331" s="17">
        <v>187.23</v>
      </c>
      <c r="K331" s="27">
        <v>76.5</v>
      </c>
      <c r="L331" s="17" t="s">
        <v>19</v>
      </c>
    </row>
    <row r="332" spans="1:12" x14ac:dyDescent="0.25">
      <c r="A332" s="12">
        <v>2020</v>
      </c>
      <c r="B332" s="12" t="s">
        <v>36</v>
      </c>
      <c r="C332" s="12" t="s">
        <v>16</v>
      </c>
      <c r="D332" s="12" t="s">
        <v>14</v>
      </c>
      <c r="E332" s="13">
        <v>38772</v>
      </c>
      <c r="F332" s="23">
        <v>27841226.879999999</v>
      </c>
      <c r="G332" s="29">
        <v>3.48</v>
      </c>
      <c r="H332" s="29">
        <v>60.92</v>
      </c>
      <c r="I332" s="12">
        <v>27.62</v>
      </c>
      <c r="J332" s="12">
        <v>136.07</v>
      </c>
      <c r="K332" s="26">
        <v>84.47</v>
      </c>
      <c r="L332" s="12" t="s">
        <v>27</v>
      </c>
    </row>
    <row r="333" spans="1:12" x14ac:dyDescent="0.25">
      <c r="A333" s="17">
        <v>2020</v>
      </c>
      <c r="B333" s="17" t="s">
        <v>12</v>
      </c>
      <c r="C333" s="17" t="s">
        <v>30</v>
      </c>
      <c r="D333" s="17" t="s">
        <v>24</v>
      </c>
      <c r="E333" s="18">
        <v>40807</v>
      </c>
      <c r="F333" s="24">
        <v>28409469.32</v>
      </c>
      <c r="G333" s="30">
        <v>3.04</v>
      </c>
      <c r="H333" s="30">
        <v>47.56</v>
      </c>
      <c r="I333" s="17">
        <v>33.590000000000003</v>
      </c>
      <c r="J333" s="17">
        <v>95.38</v>
      </c>
      <c r="K333" s="27">
        <v>57.91</v>
      </c>
      <c r="L333" s="17" t="s">
        <v>17</v>
      </c>
    </row>
    <row r="334" spans="1:12" x14ac:dyDescent="0.25">
      <c r="A334" s="12">
        <v>2020</v>
      </c>
      <c r="B334" s="12" t="s">
        <v>12</v>
      </c>
      <c r="C334" s="12" t="s">
        <v>26</v>
      </c>
      <c r="D334" s="12" t="s">
        <v>24</v>
      </c>
      <c r="E334" s="13">
        <v>48484</v>
      </c>
      <c r="F334" s="23">
        <v>10752134.16</v>
      </c>
      <c r="G334" s="29">
        <v>3.75</v>
      </c>
      <c r="H334" s="29">
        <v>41.49</v>
      </c>
      <c r="I334" s="12">
        <v>10.67</v>
      </c>
      <c r="J334" s="12">
        <v>87.88</v>
      </c>
      <c r="K334" s="26">
        <v>79.09</v>
      </c>
      <c r="L334" s="12" t="s">
        <v>19</v>
      </c>
    </row>
    <row r="335" spans="1:12" x14ac:dyDescent="0.25">
      <c r="A335" s="17">
        <v>2020</v>
      </c>
      <c r="B335" s="17" t="s">
        <v>37</v>
      </c>
      <c r="C335" s="17" t="s">
        <v>28</v>
      </c>
      <c r="D335" s="17" t="s">
        <v>24</v>
      </c>
      <c r="E335" s="18">
        <v>52951</v>
      </c>
      <c r="F335" s="24">
        <v>13524137.65</v>
      </c>
      <c r="G335" s="30">
        <v>2.83</v>
      </c>
      <c r="H335" s="30">
        <v>73.069999999999993</v>
      </c>
      <c r="I335" s="17">
        <v>27.79</v>
      </c>
      <c r="J335" s="17">
        <v>52.85</v>
      </c>
      <c r="K335" s="27">
        <v>70.84</v>
      </c>
      <c r="L335" s="17" t="s">
        <v>27</v>
      </c>
    </row>
    <row r="336" spans="1:12" x14ac:dyDescent="0.25">
      <c r="A336" s="12">
        <v>2020</v>
      </c>
      <c r="B336" s="12" t="s">
        <v>35</v>
      </c>
      <c r="C336" s="12" t="s">
        <v>33</v>
      </c>
      <c r="D336" s="12" t="s">
        <v>24</v>
      </c>
      <c r="E336" s="13">
        <v>53896</v>
      </c>
      <c r="F336" s="23">
        <v>47982928.727999903</v>
      </c>
      <c r="G336" s="29">
        <v>3.17</v>
      </c>
      <c r="H336" s="29">
        <v>75.16</v>
      </c>
      <c r="I336" s="12">
        <v>22.74</v>
      </c>
      <c r="J336" s="12">
        <v>92.93</v>
      </c>
      <c r="K336" s="26">
        <v>86.89</v>
      </c>
      <c r="L336" s="12" t="s">
        <v>17</v>
      </c>
    </row>
    <row r="337" spans="1:12" x14ac:dyDescent="0.25">
      <c r="A337" s="17">
        <v>2020</v>
      </c>
      <c r="B337" s="17" t="s">
        <v>37</v>
      </c>
      <c r="C337" s="17" t="s">
        <v>31</v>
      </c>
      <c r="D337" s="17" t="s">
        <v>24</v>
      </c>
      <c r="E337" s="18">
        <v>11163</v>
      </c>
      <c r="F337" s="24">
        <v>12032304.635999899</v>
      </c>
      <c r="G337" s="30">
        <v>3.84</v>
      </c>
      <c r="H337" s="30">
        <v>40.71</v>
      </c>
      <c r="I337" s="17">
        <v>45.09</v>
      </c>
      <c r="J337" s="17">
        <v>122.22</v>
      </c>
      <c r="K337" s="27">
        <v>83.63</v>
      </c>
      <c r="L337" s="17" t="s">
        <v>21</v>
      </c>
    </row>
    <row r="338" spans="1:12" x14ac:dyDescent="0.25">
      <c r="A338" s="12">
        <v>2020</v>
      </c>
      <c r="B338" s="12" t="s">
        <v>12</v>
      </c>
      <c r="C338" s="12" t="s">
        <v>23</v>
      </c>
      <c r="D338" s="12" t="s">
        <v>24</v>
      </c>
      <c r="E338" s="13">
        <v>42883</v>
      </c>
      <c r="F338" s="23">
        <v>18588730.370000001</v>
      </c>
      <c r="G338" s="29">
        <v>6.37</v>
      </c>
      <c r="H338" s="29">
        <v>72.87</v>
      </c>
      <c r="I338" s="12">
        <v>45.86</v>
      </c>
      <c r="J338" s="12">
        <v>273.58999999999997</v>
      </c>
      <c r="K338" s="26">
        <v>52.9</v>
      </c>
      <c r="L338" s="12" t="s">
        <v>15</v>
      </c>
    </row>
    <row r="339" spans="1:12" x14ac:dyDescent="0.25">
      <c r="A339" s="17">
        <v>2020</v>
      </c>
      <c r="B339" s="17" t="s">
        <v>12</v>
      </c>
      <c r="C339" s="17" t="s">
        <v>30</v>
      </c>
      <c r="D339" s="17" t="s">
        <v>24</v>
      </c>
      <c r="E339" s="18">
        <v>40807</v>
      </c>
      <c r="F339" s="24">
        <v>28409469.32</v>
      </c>
      <c r="G339" s="30">
        <v>3.04</v>
      </c>
      <c r="H339" s="30">
        <v>47.56</v>
      </c>
      <c r="I339" s="17">
        <v>33.590000000000003</v>
      </c>
      <c r="J339" s="17">
        <v>95.38</v>
      </c>
      <c r="K339" s="27">
        <v>57.91</v>
      </c>
      <c r="L339" s="17" t="s">
        <v>17</v>
      </c>
    </row>
    <row r="340" spans="1:12" x14ac:dyDescent="0.25">
      <c r="A340" s="12">
        <v>2020</v>
      </c>
      <c r="B340" s="12" t="s">
        <v>37</v>
      </c>
      <c r="C340" s="12" t="s">
        <v>20</v>
      </c>
      <c r="D340" s="12" t="s">
        <v>14</v>
      </c>
      <c r="E340" s="13">
        <v>7473</v>
      </c>
      <c r="F340" s="23">
        <v>19621770.609999999</v>
      </c>
      <c r="G340" s="29">
        <v>3.88</v>
      </c>
      <c r="H340" s="29">
        <v>74.66</v>
      </c>
      <c r="I340" s="12">
        <v>27.55</v>
      </c>
      <c r="J340" s="12">
        <v>177.22</v>
      </c>
      <c r="K340" s="26">
        <v>72.36</v>
      </c>
      <c r="L340" s="12" t="s">
        <v>21</v>
      </c>
    </row>
    <row r="341" spans="1:12" x14ac:dyDescent="0.25">
      <c r="A341" s="17">
        <v>2021</v>
      </c>
      <c r="B341" s="17" t="s">
        <v>12</v>
      </c>
      <c r="C341" s="17" t="s">
        <v>13</v>
      </c>
      <c r="D341" s="17" t="s">
        <v>14</v>
      </c>
      <c r="E341" s="18">
        <v>44456</v>
      </c>
      <c r="F341" s="24">
        <v>14331275.99</v>
      </c>
      <c r="G341" s="30">
        <v>0.64999999999999902</v>
      </c>
      <c r="H341" s="30">
        <v>61.11</v>
      </c>
      <c r="I341" s="17">
        <v>40.369999999999997</v>
      </c>
      <c r="J341" s="17">
        <v>129.5</v>
      </c>
      <c r="K341" s="27">
        <v>66.930000000000007</v>
      </c>
      <c r="L341" s="17" t="s">
        <v>21</v>
      </c>
    </row>
    <row r="342" spans="1:12" x14ac:dyDescent="0.25">
      <c r="A342" s="12">
        <v>2021</v>
      </c>
      <c r="B342" s="12" t="s">
        <v>12</v>
      </c>
      <c r="C342" s="12" t="s">
        <v>16</v>
      </c>
      <c r="D342" s="12" t="s">
        <v>14</v>
      </c>
      <c r="E342" s="13">
        <v>6548</v>
      </c>
      <c r="F342" s="23">
        <v>54168172.520000003</v>
      </c>
      <c r="G342" s="29">
        <v>2.64</v>
      </c>
      <c r="H342" s="29">
        <v>63.01</v>
      </c>
      <c r="I342" s="12">
        <v>17.850000000000001</v>
      </c>
      <c r="J342" s="12">
        <v>279.58</v>
      </c>
      <c r="K342" s="26">
        <v>73.97</v>
      </c>
      <c r="L342" s="12" t="s">
        <v>27</v>
      </c>
    </row>
    <row r="343" spans="1:12" x14ac:dyDescent="0.25">
      <c r="A343" s="17">
        <v>2021</v>
      </c>
      <c r="B343" s="17" t="s">
        <v>12</v>
      </c>
      <c r="C343" s="17" t="s">
        <v>18</v>
      </c>
      <c r="D343" s="17" t="s">
        <v>14</v>
      </c>
      <c r="E343" s="18">
        <v>36129</v>
      </c>
      <c r="F343" s="24">
        <v>28657040.440000001</v>
      </c>
      <c r="G343" s="30">
        <v>0.49</v>
      </c>
      <c r="H343" s="30">
        <v>60.6</v>
      </c>
      <c r="I343" s="17">
        <v>1.5699999999999901</v>
      </c>
      <c r="J343" s="17">
        <v>209.38</v>
      </c>
      <c r="K343" s="27">
        <v>62.41</v>
      </c>
      <c r="L343" s="17" t="s">
        <v>19</v>
      </c>
    </row>
    <row r="344" spans="1:12" x14ac:dyDescent="0.25">
      <c r="A344" s="12">
        <v>2021</v>
      </c>
      <c r="B344" s="12" t="s">
        <v>12</v>
      </c>
      <c r="C344" s="12" t="s">
        <v>20</v>
      </c>
      <c r="D344" s="12" t="s">
        <v>14</v>
      </c>
      <c r="E344" s="13">
        <v>36476</v>
      </c>
      <c r="F344" s="23">
        <v>9769649.4360000007</v>
      </c>
      <c r="G344" s="29">
        <v>0.39999999999999902</v>
      </c>
      <c r="H344" s="29">
        <v>67.05</v>
      </c>
      <c r="I344" s="12">
        <v>29.96</v>
      </c>
      <c r="J344" s="12">
        <v>138.12</v>
      </c>
      <c r="K344" s="26">
        <v>52.54</v>
      </c>
      <c r="L344" s="12" t="s">
        <v>27</v>
      </c>
    </row>
    <row r="345" spans="1:12" x14ac:dyDescent="0.25">
      <c r="A345" s="17">
        <v>2021</v>
      </c>
      <c r="B345" s="17" t="s">
        <v>12</v>
      </c>
      <c r="C345" s="17" t="s">
        <v>22</v>
      </c>
      <c r="D345" s="17" t="s">
        <v>14</v>
      </c>
      <c r="E345" s="18">
        <v>34090</v>
      </c>
      <c r="F345" s="24">
        <v>7777936.3679999998</v>
      </c>
      <c r="G345" s="30">
        <v>3.54</v>
      </c>
      <c r="H345" s="30">
        <v>71.27</v>
      </c>
      <c r="I345" s="17">
        <v>41.68</v>
      </c>
      <c r="J345" s="17">
        <v>171.59</v>
      </c>
      <c r="K345" s="27">
        <v>50.17</v>
      </c>
      <c r="L345" s="17" t="s">
        <v>19</v>
      </c>
    </row>
    <row r="346" spans="1:12" x14ac:dyDescent="0.25">
      <c r="A346" s="12">
        <v>2021</v>
      </c>
      <c r="B346" s="12" t="s">
        <v>12</v>
      </c>
      <c r="C346" s="12" t="s">
        <v>23</v>
      </c>
      <c r="D346" s="12" t="s">
        <v>24</v>
      </c>
      <c r="E346" s="13">
        <v>30278</v>
      </c>
      <c r="F346" s="23">
        <v>12377641.48</v>
      </c>
      <c r="G346" s="29">
        <v>3.86</v>
      </c>
      <c r="H346" s="29">
        <v>40.51</v>
      </c>
      <c r="I346" s="12">
        <v>51.79</v>
      </c>
      <c r="J346" s="12">
        <v>184.8</v>
      </c>
      <c r="K346" s="26">
        <v>61.75</v>
      </c>
      <c r="L346" s="12" t="s">
        <v>19</v>
      </c>
    </row>
    <row r="347" spans="1:12" x14ac:dyDescent="0.25">
      <c r="A347" s="17">
        <v>2021</v>
      </c>
      <c r="B347" s="17" t="s">
        <v>12</v>
      </c>
      <c r="C347" s="17" t="s">
        <v>25</v>
      </c>
      <c r="D347" s="17" t="s">
        <v>24</v>
      </c>
      <c r="E347" s="18">
        <v>57898</v>
      </c>
      <c r="F347" s="24">
        <v>19848318.309999999</v>
      </c>
      <c r="G347" s="30">
        <v>4.43</v>
      </c>
      <c r="H347" s="30">
        <v>45.27</v>
      </c>
      <c r="I347" s="17">
        <v>23.12</v>
      </c>
      <c r="J347" s="17">
        <v>277.64999999999998</v>
      </c>
      <c r="K347" s="27">
        <v>55.07</v>
      </c>
      <c r="L347" s="17" t="s">
        <v>17</v>
      </c>
    </row>
    <row r="348" spans="1:12" x14ac:dyDescent="0.25">
      <c r="A348" s="12">
        <v>2021</v>
      </c>
      <c r="B348" s="12" t="s">
        <v>12</v>
      </c>
      <c r="C348" s="12" t="s">
        <v>26</v>
      </c>
      <c r="D348" s="12" t="s">
        <v>24</v>
      </c>
      <c r="E348" s="13">
        <v>44847</v>
      </c>
      <c r="F348" s="23">
        <v>14310727.310000001</v>
      </c>
      <c r="G348" s="29">
        <v>5.07</v>
      </c>
      <c r="H348" s="29">
        <v>66.56</v>
      </c>
      <c r="I348" s="12">
        <v>16.829999999999998</v>
      </c>
      <c r="J348" s="12">
        <v>97.53</v>
      </c>
      <c r="K348" s="26">
        <v>53.5</v>
      </c>
      <c r="L348" s="12" t="s">
        <v>27</v>
      </c>
    </row>
    <row r="349" spans="1:12" x14ac:dyDescent="0.25">
      <c r="A349" s="17">
        <v>2021</v>
      </c>
      <c r="B349" s="17" t="s">
        <v>12</v>
      </c>
      <c r="C349" s="17" t="s">
        <v>28</v>
      </c>
      <c r="D349" s="17" t="s">
        <v>24</v>
      </c>
      <c r="E349" s="18">
        <v>6557</v>
      </c>
      <c r="F349" s="24">
        <v>41433407.509999998</v>
      </c>
      <c r="G349" s="30">
        <v>2.69</v>
      </c>
      <c r="H349" s="30">
        <v>94.68</v>
      </c>
      <c r="I349" s="17">
        <v>54.35</v>
      </c>
      <c r="J349" s="17">
        <v>127.45</v>
      </c>
      <c r="K349" s="27">
        <v>85.11</v>
      </c>
      <c r="L349" s="17" t="s">
        <v>15</v>
      </c>
    </row>
    <row r="350" spans="1:12" x14ac:dyDescent="0.25">
      <c r="A350" s="12">
        <v>2021</v>
      </c>
      <c r="B350" s="12" t="s">
        <v>12</v>
      </c>
      <c r="C350" s="12" t="s">
        <v>29</v>
      </c>
      <c r="D350" s="12" t="s">
        <v>24</v>
      </c>
      <c r="E350" s="13">
        <v>58334</v>
      </c>
      <c r="F350" s="23">
        <v>67042799.399999999</v>
      </c>
      <c r="G350" s="29">
        <v>6.02</v>
      </c>
      <c r="H350" s="29">
        <v>90.08</v>
      </c>
      <c r="I350" s="12">
        <v>10.35</v>
      </c>
      <c r="J350" s="12">
        <v>102.66</v>
      </c>
      <c r="K350" s="26">
        <v>60.11</v>
      </c>
      <c r="L350" s="12" t="s">
        <v>27</v>
      </c>
    </row>
    <row r="351" spans="1:12" x14ac:dyDescent="0.25">
      <c r="A351" s="17">
        <v>2021</v>
      </c>
      <c r="B351" s="17" t="s">
        <v>12</v>
      </c>
      <c r="C351" s="17" t="s">
        <v>30</v>
      </c>
      <c r="D351" s="17" t="s">
        <v>24</v>
      </c>
      <c r="E351" s="18">
        <v>42025</v>
      </c>
      <c r="F351" s="24">
        <v>46339655.030000001</v>
      </c>
      <c r="G351" s="30">
        <v>4.66</v>
      </c>
      <c r="H351" s="30">
        <v>82.85</v>
      </c>
      <c r="I351" s="17">
        <v>36.11</v>
      </c>
      <c r="J351" s="17">
        <v>176.96</v>
      </c>
      <c r="K351" s="27">
        <v>71.11</v>
      </c>
      <c r="L351" s="17" t="s">
        <v>21</v>
      </c>
    </row>
    <row r="352" spans="1:12" x14ac:dyDescent="0.25">
      <c r="A352" s="12">
        <v>2021</v>
      </c>
      <c r="B352" s="12" t="s">
        <v>12</v>
      </c>
      <c r="C352" s="12" t="s">
        <v>31</v>
      </c>
      <c r="D352" s="12" t="s">
        <v>24</v>
      </c>
      <c r="E352" s="13">
        <v>8612</v>
      </c>
      <c r="F352" s="23">
        <v>30287874.850000001</v>
      </c>
      <c r="G352" s="29">
        <v>3.62</v>
      </c>
      <c r="H352" s="29">
        <v>54.88</v>
      </c>
      <c r="I352" s="12">
        <v>52.25</v>
      </c>
      <c r="J352" s="12">
        <v>288.87</v>
      </c>
      <c r="K352" s="26">
        <v>72.55</v>
      </c>
      <c r="L352" s="12" t="s">
        <v>15</v>
      </c>
    </row>
    <row r="353" spans="1:12" x14ac:dyDescent="0.25">
      <c r="A353" s="17">
        <v>2021</v>
      </c>
      <c r="B353" s="17" t="s">
        <v>12</v>
      </c>
      <c r="C353" s="17" t="s">
        <v>32</v>
      </c>
      <c r="D353" s="17" t="s">
        <v>24</v>
      </c>
      <c r="E353" s="18">
        <v>33689</v>
      </c>
      <c r="F353" s="24">
        <v>37582037.579999998</v>
      </c>
      <c r="G353" s="30">
        <v>6.06</v>
      </c>
      <c r="H353" s="30">
        <v>97.44</v>
      </c>
      <c r="I353" s="17">
        <v>25.59</v>
      </c>
      <c r="J353" s="17">
        <v>133.77000000000001</v>
      </c>
      <c r="K353" s="27">
        <v>92.93</v>
      </c>
      <c r="L353" s="17" t="s">
        <v>27</v>
      </c>
    </row>
    <row r="354" spans="1:12" x14ac:dyDescent="0.25">
      <c r="A354" s="12">
        <v>2021</v>
      </c>
      <c r="B354" s="12" t="s">
        <v>12</v>
      </c>
      <c r="C354" s="12" t="s">
        <v>33</v>
      </c>
      <c r="D354" s="12" t="s">
        <v>24</v>
      </c>
      <c r="E354" s="13">
        <v>60093</v>
      </c>
      <c r="F354" s="23">
        <v>79592293.1639999</v>
      </c>
      <c r="G354" s="29">
        <v>3.24</v>
      </c>
      <c r="H354" s="29">
        <v>68.56</v>
      </c>
      <c r="I354" s="12">
        <v>48.17</v>
      </c>
      <c r="J354" s="12">
        <v>130.83000000000001</v>
      </c>
      <c r="K354" s="26">
        <v>75.69</v>
      </c>
      <c r="L354" s="12" t="s">
        <v>17</v>
      </c>
    </row>
    <row r="355" spans="1:12" x14ac:dyDescent="0.25">
      <c r="A355" s="17">
        <v>2021</v>
      </c>
      <c r="B355" s="17" t="s">
        <v>12</v>
      </c>
      <c r="C355" s="17" t="s">
        <v>34</v>
      </c>
      <c r="D355" s="17" t="s">
        <v>24</v>
      </c>
      <c r="E355" s="18">
        <v>50612</v>
      </c>
      <c r="F355" s="24">
        <v>24547804.329999998</v>
      </c>
      <c r="G355" s="30">
        <v>4.38</v>
      </c>
      <c r="H355" s="30">
        <v>76.13</v>
      </c>
      <c r="I355" s="17">
        <v>16.43</v>
      </c>
      <c r="J355" s="17">
        <v>58.21</v>
      </c>
      <c r="K355" s="27">
        <v>60.85</v>
      </c>
      <c r="L355" s="17" t="s">
        <v>15</v>
      </c>
    </row>
    <row r="356" spans="1:12" x14ac:dyDescent="0.25">
      <c r="A356" s="12">
        <v>2021</v>
      </c>
      <c r="B356" s="12" t="s">
        <v>35</v>
      </c>
      <c r="C356" s="12" t="s">
        <v>13</v>
      </c>
      <c r="D356" s="12" t="s">
        <v>14</v>
      </c>
      <c r="E356" s="13">
        <v>33392</v>
      </c>
      <c r="F356" s="23">
        <v>40200175.950000003</v>
      </c>
      <c r="G356" s="29">
        <v>-0.14000000000000001</v>
      </c>
      <c r="H356" s="29">
        <v>69.319999999999993</v>
      </c>
      <c r="I356" s="12">
        <v>24.76</v>
      </c>
      <c r="J356" s="12">
        <v>255.14</v>
      </c>
      <c r="K356" s="26">
        <v>39.33</v>
      </c>
      <c r="L356" s="12" t="s">
        <v>21</v>
      </c>
    </row>
    <row r="357" spans="1:12" x14ac:dyDescent="0.25">
      <c r="A357" s="17">
        <v>2021</v>
      </c>
      <c r="B357" s="17" t="s">
        <v>35</v>
      </c>
      <c r="C357" s="17" t="s">
        <v>16</v>
      </c>
      <c r="D357" s="17" t="s">
        <v>14</v>
      </c>
      <c r="E357" s="18">
        <v>20351</v>
      </c>
      <c r="F357" s="24">
        <v>10720475.02</v>
      </c>
      <c r="G357" s="30">
        <v>3.45</v>
      </c>
      <c r="H357" s="30">
        <v>77.709999999999994</v>
      </c>
      <c r="I357" s="17">
        <v>3.3</v>
      </c>
      <c r="J357" s="17">
        <v>285.13</v>
      </c>
      <c r="K357" s="27">
        <v>73.56</v>
      </c>
      <c r="L357" s="17" t="s">
        <v>21</v>
      </c>
    </row>
    <row r="358" spans="1:12" x14ac:dyDescent="0.25">
      <c r="A358" s="12">
        <v>2021</v>
      </c>
      <c r="B358" s="12" t="s">
        <v>35</v>
      </c>
      <c r="C358" s="12" t="s">
        <v>18</v>
      </c>
      <c r="D358" s="12" t="s">
        <v>14</v>
      </c>
      <c r="E358" s="13">
        <v>9689</v>
      </c>
      <c r="F358" s="23">
        <v>18237818.16</v>
      </c>
      <c r="G358" s="29">
        <v>-0.39</v>
      </c>
      <c r="H358" s="29">
        <v>45.74</v>
      </c>
      <c r="I358" s="12">
        <v>39.58</v>
      </c>
      <c r="J358" s="12">
        <v>291.06</v>
      </c>
      <c r="K358" s="26">
        <v>65.819999999999993</v>
      </c>
      <c r="L358" s="12" t="s">
        <v>21</v>
      </c>
    </row>
    <row r="359" spans="1:12" x14ac:dyDescent="0.25">
      <c r="A359" s="17">
        <v>2021</v>
      </c>
      <c r="B359" s="17" t="s">
        <v>35</v>
      </c>
      <c r="C359" s="17" t="s">
        <v>20</v>
      </c>
      <c r="D359" s="17" t="s">
        <v>14</v>
      </c>
      <c r="E359" s="18">
        <v>19360</v>
      </c>
      <c r="F359" s="24">
        <v>21067765.940000001</v>
      </c>
      <c r="G359" s="30">
        <v>0.71</v>
      </c>
      <c r="H359" s="30">
        <v>72.25</v>
      </c>
      <c r="I359" s="17">
        <v>24.64</v>
      </c>
      <c r="J359" s="17">
        <v>119.68</v>
      </c>
      <c r="K359" s="27">
        <v>71.099999999999994</v>
      </c>
      <c r="L359" s="17" t="s">
        <v>17</v>
      </c>
    </row>
    <row r="360" spans="1:12" x14ac:dyDescent="0.25">
      <c r="A360" s="12">
        <v>2021</v>
      </c>
      <c r="B360" s="12" t="s">
        <v>35</v>
      </c>
      <c r="C360" s="12" t="s">
        <v>22</v>
      </c>
      <c r="D360" s="12" t="s">
        <v>14</v>
      </c>
      <c r="E360" s="13">
        <v>41937</v>
      </c>
      <c r="F360" s="23">
        <v>10442280.66</v>
      </c>
      <c r="G360" s="29">
        <v>-0.2</v>
      </c>
      <c r="H360" s="29">
        <v>67</v>
      </c>
      <c r="I360" s="12">
        <v>23.33</v>
      </c>
      <c r="J360" s="12">
        <v>106.63</v>
      </c>
      <c r="K360" s="26">
        <v>42.6</v>
      </c>
      <c r="L360" s="12" t="s">
        <v>15</v>
      </c>
    </row>
    <row r="361" spans="1:12" x14ac:dyDescent="0.25">
      <c r="A361" s="17">
        <v>2021</v>
      </c>
      <c r="B361" s="17" t="s">
        <v>35</v>
      </c>
      <c r="C361" s="17" t="s">
        <v>23</v>
      </c>
      <c r="D361" s="17" t="s">
        <v>24</v>
      </c>
      <c r="E361" s="18">
        <v>26634</v>
      </c>
      <c r="F361" s="24">
        <v>17977115.149999999</v>
      </c>
      <c r="G361" s="30">
        <v>2.97</v>
      </c>
      <c r="H361" s="30">
        <v>45.93</v>
      </c>
      <c r="I361" s="17">
        <v>52.08</v>
      </c>
      <c r="J361" s="17">
        <v>238.86</v>
      </c>
      <c r="K361" s="27">
        <v>74.08</v>
      </c>
      <c r="L361" s="17" t="s">
        <v>19</v>
      </c>
    </row>
    <row r="362" spans="1:12" x14ac:dyDescent="0.25">
      <c r="A362" s="12">
        <v>2021</v>
      </c>
      <c r="B362" s="12" t="s">
        <v>35</v>
      </c>
      <c r="C362" s="12" t="s">
        <v>25</v>
      </c>
      <c r="D362" s="12" t="s">
        <v>24</v>
      </c>
      <c r="E362" s="13">
        <v>36653</v>
      </c>
      <c r="F362" s="23">
        <v>38555751.189999998</v>
      </c>
      <c r="G362" s="29">
        <v>4.34</v>
      </c>
      <c r="H362" s="29">
        <v>88.65</v>
      </c>
      <c r="I362" s="12">
        <v>27.12</v>
      </c>
      <c r="J362" s="12">
        <v>280.3</v>
      </c>
      <c r="K362" s="26">
        <v>66</v>
      </c>
      <c r="L362" s="12" t="s">
        <v>19</v>
      </c>
    </row>
    <row r="363" spans="1:12" x14ac:dyDescent="0.25">
      <c r="A363" s="17">
        <v>2021</v>
      </c>
      <c r="B363" s="17" t="s">
        <v>35</v>
      </c>
      <c r="C363" s="17" t="s">
        <v>26</v>
      </c>
      <c r="D363" s="17" t="s">
        <v>24</v>
      </c>
      <c r="E363" s="18">
        <v>61958</v>
      </c>
      <c r="F363" s="24">
        <v>56094433.859999903</v>
      </c>
      <c r="G363" s="30">
        <v>4.58</v>
      </c>
      <c r="H363" s="30">
        <v>59.36</v>
      </c>
      <c r="I363" s="17">
        <v>24.48</v>
      </c>
      <c r="J363" s="17">
        <v>62.63</v>
      </c>
      <c r="K363" s="27">
        <v>92.83</v>
      </c>
      <c r="L363" s="17" t="s">
        <v>15</v>
      </c>
    </row>
    <row r="364" spans="1:12" x14ac:dyDescent="0.25">
      <c r="A364" s="12">
        <v>2021</v>
      </c>
      <c r="B364" s="12" t="s">
        <v>35</v>
      </c>
      <c r="C364" s="12" t="s">
        <v>28</v>
      </c>
      <c r="D364" s="12" t="s">
        <v>24</v>
      </c>
      <c r="E364" s="13">
        <v>6501</v>
      </c>
      <c r="F364" s="23">
        <v>38321092.719999999</v>
      </c>
      <c r="G364" s="29">
        <v>5.2799999999999896</v>
      </c>
      <c r="H364" s="29">
        <v>74.459999999999994</v>
      </c>
      <c r="I364" s="12">
        <v>32.11</v>
      </c>
      <c r="J364" s="12">
        <v>93.6</v>
      </c>
      <c r="K364" s="26">
        <v>93.25</v>
      </c>
      <c r="L364" s="12" t="s">
        <v>17</v>
      </c>
    </row>
    <row r="365" spans="1:12" x14ac:dyDescent="0.25">
      <c r="A365" s="17">
        <v>2021</v>
      </c>
      <c r="B365" s="17" t="s">
        <v>35</v>
      </c>
      <c r="C365" s="17" t="s">
        <v>29</v>
      </c>
      <c r="D365" s="17" t="s">
        <v>24</v>
      </c>
      <c r="E365" s="18">
        <v>31267</v>
      </c>
      <c r="F365" s="24">
        <v>31015491.109999999</v>
      </c>
      <c r="G365" s="30">
        <v>3.11</v>
      </c>
      <c r="H365" s="30">
        <v>75.22</v>
      </c>
      <c r="I365" s="17">
        <v>36.29</v>
      </c>
      <c r="J365" s="17">
        <v>75.66</v>
      </c>
      <c r="K365" s="27">
        <v>48.08</v>
      </c>
      <c r="L365" s="17" t="s">
        <v>27</v>
      </c>
    </row>
    <row r="366" spans="1:12" x14ac:dyDescent="0.25">
      <c r="A366" s="12">
        <v>2021</v>
      </c>
      <c r="B366" s="12" t="s">
        <v>35</v>
      </c>
      <c r="C366" s="12" t="s">
        <v>30</v>
      </c>
      <c r="D366" s="12" t="s">
        <v>24</v>
      </c>
      <c r="E366" s="13">
        <v>27446</v>
      </c>
      <c r="F366" s="23">
        <v>66537700.595999897</v>
      </c>
      <c r="G366" s="29">
        <v>5.89</v>
      </c>
      <c r="H366" s="29">
        <v>93.07</v>
      </c>
      <c r="I366" s="12">
        <v>25.38</v>
      </c>
      <c r="J366" s="12">
        <v>199.61</v>
      </c>
      <c r="K366" s="26">
        <v>89.51</v>
      </c>
      <c r="L366" s="12" t="s">
        <v>21</v>
      </c>
    </row>
    <row r="367" spans="1:12" x14ac:dyDescent="0.25">
      <c r="A367" s="17">
        <v>2021</v>
      </c>
      <c r="B367" s="17" t="s">
        <v>35</v>
      </c>
      <c r="C367" s="17" t="s">
        <v>31</v>
      </c>
      <c r="D367" s="17" t="s">
        <v>24</v>
      </c>
      <c r="E367" s="18">
        <v>60479</v>
      </c>
      <c r="F367" s="24">
        <v>80946999.2519999</v>
      </c>
      <c r="G367" s="30">
        <v>4.3599999999999897</v>
      </c>
      <c r="H367" s="30">
        <v>41.23</v>
      </c>
      <c r="I367" s="17">
        <v>45.34</v>
      </c>
      <c r="J367" s="17">
        <v>215.46</v>
      </c>
      <c r="K367" s="27">
        <v>49.82</v>
      </c>
      <c r="L367" s="17" t="s">
        <v>17</v>
      </c>
    </row>
    <row r="368" spans="1:12" x14ac:dyDescent="0.25">
      <c r="A368" s="12">
        <v>2021</v>
      </c>
      <c r="B368" s="12" t="s">
        <v>35</v>
      </c>
      <c r="C368" s="12" t="s">
        <v>32</v>
      </c>
      <c r="D368" s="12" t="s">
        <v>24</v>
      </c>
      <c r="E368" s="13">
        <v>33576</v>
      </c>
      <c r="F368" s="23">
        <v>15758344.550000001</v>
      </c>
      <c r="G368" s="29">
        <v>6.65</v>
      </c>
      <c r="H368" s="29">
        <v>73.37</v>
      </c>
      <c r="I368" s="12">
        <v>14.85</v>
      </c>
      <c r="J368" s="12">
        <v>69.650000000000006</v>
      </c>
      <c r="K368" s="26">
        <v>58.52</v>
      </c>
      <c r="L368" s="12" t="s">
        <v>27</v>
      </c>
    </row>
    <row r="369" spans="1:12" x14ac:dyDescent="0.25">
      <c r="A369" s="17">
        <v>2021</v>
      </c>
      <c r="B369" s="17" t="s">
        <v>35</v>
      </c>
      <c r="C369" s="17" t="s">
        <v>33</v>
      </c>
      <c r="D369" s="17" t="s">
        <v>24</v>
      </c>
      <c r="E369" s="18">
        <v>53719</v>
      </c>
      <c r="F369" s="24">
        <v>32766472.260000002</v>
      </c>
      <c r="G369" s="30">
        <v>2.82</v>
      </c>
      <c r="H369" s="30">
        <v>96.44</v>
      </c>
      <c r="I369" s="17">
        <v>40.479999999999997</v>
      </c>
      <c r="J369" s="17">
        <v>160.44999999999999</v>
      </c>
      <c r="K369" s="27">
        <v>71.77</v>
      </c>
      <c r="L369" s="17" t="s">
        <v>17</v>
      </c>
    </row>
    <row r="370" spans="1:12" x14ac:dyDescent="0.25">
      <c r="A370" s="12">
        <v>2021</v>
      </c>
      <c r="B370" s="12" t="s">
        <v>35</v>
      </c>
      <c r="C370" s="12" t="s">
        <v>34</v>
      </c>
      <c r="D370" s="12" t="s">
        <v>24</v>
      </c>
      <c r="E370" s="13">
        <v>34710</v>
      </c>
      <c r="F370" s="23">
        <v>17998844.949999999</v>
      </c>
      <c r="G370" s="29">
        <v>5.2799999999999896</v>
      </c>
      <c r="H370" s="29">
        <v>61.27</v>
      </c>
      <c r="I370" s="12">
        <v>11.75</v>
      </c>
      <c r="J370" s="12">
        <v>237.56</v>
      </c>
      <c r="K370" s="26">
        <v>76.8</v>
      </c>
      <c r="L370" s="12" t="s">
        <v>19</v>
      </c>
    </row>
    <row r="371" spans="1:12" x14ac:dyDescent="0.25">
      <c r="A371" s="17">
        <v>2021</v>
      </c>
      <c r="B371" s="17" t="s">
        <v>36</v>
      </c>
      <c r="C371" s="17" t="s">
        <v>13</v>
      </c>
      <c r="D371" s="17" t="s">
        <v>14</v>
      </c>
      <c r="E371" s="18">
        <v>39031</v>
      </c>
      <c r="F371" s="24">
        <v>18608941.010000002</v>
      </c>
      <c r="G371" s="30">
        <v>3.81</v>
      </c>
      <c r="H371" s="30">
        <v>33.54</v>
      </c>
      <c r="I371" s="17">
        <v>15.3</v>
      </c>
      <c r="J371" s="17">
        <v>107.98</v>
      </c>
      <c r="K371" s="27">
        <v>58.3</v>
      </c>
      <c r="L371" s="17" t="s">
        <v>15</v>
      </c>
    </row>
    <row r="372" spans="1:12" x14ac:dyDescent="0.25">
      <c r="A372" s="12">
        <v>2021</v>
      </c>
      <c r="B372" s="12" t="s">
        <v>36</v>
      </c>
      <c r="C372" s="12" t="s">
        <v>16</v>
      </c>
      <c r="D372" s="12" t="s">
        <v>14</v>
      </c>
      <c r="E372" s="13">
        <v>34903</v>
      </c>
      <c r="F372" s="23">
        <v>18518248.489999998</v>
      </c>
      <c r="G372" s="29">
        <v>2.0499999999999998</v>
      </c>
      <c r="H372" s="29">
        <v>53.32</v>
      </c>
      <c r="I372" s="12">
        <v>5.41</v>
      </c>
      <c r="J372" s="12">
        <v>217.97</v>
      </c>
      <c r="K372" s="26">
        <v>54.81</v>
      </c>
      <c r="L372" s="12" t="s">
        <v>27</v>
      </c>
    </row>
    <row r="373" spans="1:12" x14ac:dyDescent="0.25">
      <c r="A373" s="17">
        <v>2021</v>
      </c>
      <c r="B373" s="17" t="s">
        <v>36</v>
      </c>
      <c r="C373" s="17" t="s">
        <v>18</v>
      </c>
      <c r="D373" s="17" t="s">
        <v>14</v>
      </c>
      <c r="E373" s="18">
        <v>35996</v>
      </c>
      <c r="F373" s="24">
        <v>23537405.350000001</v>
      </c>
      <c r="G373" s="30">
        <v>3.53</v>
      </c>
      <c r="H373" s="30">
        <v>37.57</v>
      </c>
      <c r="I373" s="17">
        <v>31.68</v>
      </c>
      <c r="J373" s="17">
        <v>291.12</v>
      </c>
      <c r="K373" s="27">
        <v>85.21</v>
      </c>
      <c r="L373" s="17" t="s">
        <v>17</v>
      </c>
    </row>
    <row r="374" spans="1:12" x14ac:dyDescent="0.25">
      <c r="A374" s="12">
        <v>2021</v>
      </c>
      <c r="B374" s="12" t="s">
        <v>36</v>
      </c>
      <c r="C374" s="12" t="s">
        <v>20</v>
      </c>
      <c r="D374" s="12" t="s">
        <v>14</v>
      </c>
      <c r="E374" s="13">
        <v>42820</v>
      </c>
      <c r="F374" s="23">
        <v>29532856.460000001</v>
      </c>
      <c r="G374" s="29">
        <v>-0.47</v>
      </c>
      <c r="H374" s="29">
        <v>68.239999999999995</v>
      </c>
      <c r="I374" s="12">
        <v>19.11</v>
      </c>
      <c r="J374" s="12">
        <v>188.16</v>
      </c>
      <c r="K374" s="26">
        <v>46.5</v>
      </c>
      <c r="L374" s="12" t="s">
        <v>17</v>
      </c>
    </row>
    <row r="375" spans="1:12" x14ac:dyDescent="0.25">
      <c r="A375" s="17">
        <v>2021</v>
      </c>
      <c r="B375" s="17" t="s">
        <v>36</v>
      </c>
      <c r="C375" s="17" t="s">
        <v>22</v>
      </c>
      <c r="D375" s="17" t="s">
        <v>14</v>
      </c>
      <c r="E375" s="18">
        <v>28881</v>
      </c>
      <c r="F375" s="24">
        <v>21441364.649999999</v>
      </c>
      <c r="G375" s="30">
        <v>0.65999999999999903</v>
      </c>
      <c r="H375" s="30">
        <v>41.69</v>
      </c>
      <c r="I375" s="17">
        <v>44.53</v>
      </c>
      <c r="J375" s="17">
        <v>269.38</v>
      </c>
      <c r="K375" s="27">
        <v>59.06</v>
      </c>
      <c r="L375" s="17" t="s">
        <v>19</v>
      </c>
    </row>
    <row r="376" spans="1:12" x14ac:dyDescent="0.25">
      <c r="A376" s="12">
        <v>2021</v>
      </c>
      <c r="B376" s="12" t="s">
        <v>36</v>
      </c>
      <c r="C376" s="12" t="s">
        <v>23</v>
      </c>
      <c r="D376" s="12" t="s">
        <v>24</v>
      </c>
      <c r="E376" s="13">
        <v>55419</v>
      </c>
      <c r="F376" s="23">
        <v>10737537.960000001</v>
      </c>
      <c r="G376" s="29">
        <v>2.59</v>
      </c>
      <c r="H376" s="29">
        <v>68.8</v>
      </c>
      <c r="I376" s="12">
        <v>35.979999999999997</v>
      </c>
      <c r="J376" s="12">
        <v>196.85</v>
      </c>
      <c r="K376" s="26">
        <v>72.959999999999994</v>
      </c>
      <c r="L376" s="12" t="s">
        <v>19</v>
      </c>
    </row>
    <row r="377" spans="1:12" x14ac:dyDescent="0.25">
      <c r="A377" s="17">
        <v>2021</v>
      </c>
      <c r="B377" s="17" t="s">
        <v>36</v>
      </c>
      <c r="C377" s="17" t="s">
        <v>25</v>
      </c>
      <c r="D377" s="17" t="s">
        <v>24</v>
      </c>
      <c r="E377" s="18">
        <v>7872</v>
      </c>
      <c r="F377" s="24">
        <v>5221237.3320000004</v>
      </c>
      <c r="G377" s="30">
        <v>4.1099999999999897</v>
      </c>
      <c r="H377" s="30">
        <v>54.57</v>
      </c>
      <c r="I377" s="17">
        <v>44.85</v>
      </c>
      <c r="J377" s="17">
        <v>202.32</v>
      </c>
      <c r="K377" s="27">
        <v>88.65</v>
      </c>
      <c r="L377" s="17" t="s">
        <v>27</v>
      </c>
    </row>
    <row r="378" spans="1:12" x14ac:dyDescent="0.25">
      <c r="A378" s="12">
        <v>2021</v>
      </c>
      <c r="B378" s="12" t="s">
        <v>36</v>
      </c>
      <c r="C378" s="12" t="s">
        <v>26</v>
      </c>
      <c r="D378" s="12" t="s">
        <v>24</v>
      </c>
      <c r="E378" s="13">
        <v>24758</v>
      </c>
      <c r="F378" s="23">
        <v>51101597.950000003</v>
      </c>
      <c r="G378" s="29">
        <v>4.72</v>
      </c>
      <c r="H378" s="29">
        <v>98.62</v>
      </c>
      <c r="I378" s="12">
        <v>35.629999999999903</v>
      </c>
      <c r="J378" s="12">
        <v>259.73</v>
      </c>
      <c r="K378" s="26">
        <v>81.14</v>
      </c>
      <c r="L378" s="12" t="s">
        <v>19</v>
      </c>
    </row>
    <row r="379" spans="1:12" x14ac:dyDescent="0.25">
      <c r="A379" s="17">
        <v>2021</v>
      </c>
      <c r="B379" s="17" t="s">
        <v>36</v>
      </c>
      <c r="C379" s="17" t="s">
        <v>28</v>
      </c>
      <c r="D379" s="17" t="s">
        <v>24</v>
      </c>
      <c r="E379" s="18">
        <v>50384</v>
      </c>
      <c r="F379" s="24">
        <v>16798329.649999999</v>
      </c>
      <c r="G379" s="30">
        <v>4.3599999999999897</v>
      </c>
      <c r="H379" s="30">
        <v>89.43</v>
      </c>
      <c r="I379" s="17">
        <v>51.51</v>
      </c>
      <c r="J379" s="17">
        <v>132.01</v>
      </c>
      <c r="K379" s="27">
        <v>80.989999999999995</v>
      </c>
      <c r="L379" s="17" t="s">
        <v>15</v>
      </c>
    </row>
    <row r="380" spans="1:12" x14ac:dyDescent="0.25">
      <c r="A380" s="12">
        <v>2021</v>
      </c>
      <c r="B380" s="12" t="s">
        <v>36</v>
      </c>
      <c r="C380" s="12" t="s">
        <v>29</v>
      </c>
      <c r="D380" s="12" t="s">
        <v>24</v>
      </c>
      <c r="E380" s="13">
        <v>8281</v>
      </c>
      <c r="F380" s="23">
        <v>15827206.449999999</v>
      </c>
      <c r="G380" s="29">
        <v>2.87</v>
      </c>
      <c r="H380" s="29">
        <v>97.24</v>
      </c>
      <c r="I380" s="12">
        <v>49.02</v>
      </c>
      <c r="J380" s="12">
        <v>297.81</v>
      </c>
      <c r="K380" s="26">
        <v>77.33</v>
      </c>
      <c r="L380" s="12" t="s">
        <v>21</v>
      </c>
    </row>
    <row r="381" spans="1:12" x14ac:dyDescent="0.25">
      <c r="A381" s="17">
        <v>2021</v>
      </c>
      <c r="B381" s="17" t="s">
        <v>36</v>
      </c>
      <c r="C381" s="17" t="s">
        <v>30</v>
      </c>
      <c r="D381" s="17" t="s">
        <v>24</v>
      </c>
      <c r="E381" s="18">
        <v>54330</v>
      </c>
      <c r="F381" s="24">
        <v>37269680.390000001</v>
      </c>
      <c r="G381" s="30">
        <v>6.02</v>
      </c>
      <c r="H381" s="30">
        <v>48.4</v>
      </c>
      <c r="I381" s="17">
        <v>15.34</v>
      </c>
      <c r="J381" s="17">
        <v>212.64</v>
      </c>
      <c r="K381" s="27">
        <v>88.87</v>
      </c>
      <c r="L381" s="17" t="s">
        <v>19</v>
      </c>
    </row>
    <row r="382" spans="1:12" x14ac:dyDescent="0.25">
      <c r="A382" s="12">
        <v>2021</v>
      </c>
      <c r="B382" s="12" t="s">
        <v>36</v>
      </c>
      <c r="C382" s="12" t="s">
        <v>31</v>
      </c>
      <c r="D382" s="12" t="s">
        <v>24</v>
      </c>
      <c r="E382" s="13">
        <v>32683</v>
      </c>
      <c r="F382" s="23">
        <v>17951923.895999901</v>
      </c>
      <c r="G382" s="29">
        <v>4.8599999999999897</v>
      </c>
      <c r="H382" s="29">
        <v>53.85</v>
      </c>
      <c r="I382" s="12">
        <v>21.86</v>
      </c>
      <c r="J382" s="12">
        <v>99.2</v>
      </c>
      <c r="K382" s="26">
        <v>71.55</v>
      </c>
      <c r="L382" s="12" t="s">
        <v>27</v>
      </c>
    </row>
    <row r="383" spans="1:12" x14ac:dyDescent="0.25">
      <c r="A383" s="17">
        <v>2021</v>
      </c>
      <c r="B383" s="17" t="s">
        <v>36</v>
      </c>
      <c r="C383" s="17" t="s">
        <v>32</v>
      </c>
      <c r="D383" s="17" t="s">
        <v>24</v>
      </c>
      <c r="E383" s="18">
        <v>58052</v>
      </c>
      <c r="F383" s="24">
        <v>45303231.340000004</v>
      </c>
      <c r="G383" s="30">
        <v>5.93</v>
      </c>
      <c r="H383" s="30">
        <v>82.65</v>
      </c>
      <c r="I383" s="17">
        <v>33.54</v>
      </c>
      <c r="J383" s="17">
        <v>271.18</v>
      </c>
      <c r="K383" s="27">
        <v>90.26</v>
      </c>
      <c r="L383" s="17" t="s">
        <v>15</v>
      </c>
    </row>
    <row r="384" spans="1:12" x14ac:dyDescent="0.25">
      <c r="A384" s="12">
        <v>2021</v>
      </c>
      <c r="B384" s="12" t="s">
        <v>36</v>
      </c>
      <c r="C384" s="12" t="s">
        <v>33</v>
      </c>
      <c r="D384" s="12" t="s">
        <v>24</v>
      </c>
      <c r="E384" s="13">
        <v>28022</v>
      </c>
      <c r="F384" s="23">
        <v>33044277.48</v>
      </c>
      <c r="G384" s="29">
        <v>3.7</v>
      </c>
      <c r="H384" s="29">
        <v>91.77</v>
      </c>
      <c r="I384" s="12">
        <v>8.11</v>
      </c>
      <c r="J384" s="12">
        <v>274.8</v>
      </c>
      <c r="K384" s="26">
        <v>87</v>
      </c>
      <c r="L384" s="12" t="s">
        <v>27</v>
      </c>
    </row>
    <row r="385" spans="1:12" x14ac:dyDescent="0.25">
      <c r="A385" s="17">
        <v>2021</v>
      </c>
      <c r="B385" s="17" t="s">
        <v>36</v>
      </c>
      <c r="C385" s="17" t="s">
        <v>34</v>
      </c>
      <c r="D385" s="17" t="s">
        <v>24</v>
      </c>
      <c r="E385" s="18">
        <v>55987</v>
      </c>
      <c r="F385" s="24">
        <v>5330566.68</v>
      </c>
      <c r="G385" s="30">
        <v>2.81</v>
      </c>
      <c r="H385" s="30">
        <v>47.52</v>
      </c>
      <c r="I385" s="17">
        <v>46.97</v>
      </c>
      <c r="J385" s="17">
        <v>166.12</v>
      </c>
      <c r="K385" s="27">
        <v>82.49</v>
      </c>
      <c r="L385" s="17" t="s">
        <v>15</v>
      </c>
    </row>
    <row r="386" spans="1:12" x14ac:dyDescent="0.25">
      <c r="A386" s="12">
        <v>2021</v>
      </c>
      <c r="B386" s="12" t="s">
        <v>37</v>
      </c>
      <c r="C386" s="12" t="s">
        <v>13</v>
      </c>
      <c r="D386" s="12" t="s">
        <v>14</v>
      </c>
      <c r="E386" s="13">
        <v>5309</v>
      </c>
      <c r="F386" s="23">
        <v>30375439.559999999</v>
      </c>
      <c r="G386" s="29">
        <v>-0.17</v>
      </c>
      <c r="H386" s="29">
        <v>38.35</v>
      </c>
      <c r="I386" s="12">
        <v>33.49</v>
      </c>
      <c r="J386" s="12">
        <v>297.3</v>
      </c>
      <c r="K386" s="26">
        <v>66.819999999999993</v>
      </c>
      <c r="L386" s="12" t="s">
        <v>15</v>
      </c>
    </row>
    <row r="387" spans="1:12" x14ac:dyDescent="0.25">
      <c r="A387" s="17">
        <v>2021</v>
      </c>
      <c r="B387" s="17" t="s">
        <v>37</v>
      </c>
      <c r="C387" s="17" t="s">
        <v>16</v>
      </c>
      <c r="D387" s="17" t="s">
        <v>14</v>
      </c>
      <c r="E387" s="18">
        <v>39415</v>
      </c>
      <c r="F387" s="24">
        <v>15774523.4</v>
      </c>
      <c r="G387" s="30">
        <v>3.44</v>
      </c>
      <c r="H387" s="30">
        <v>72.400000000000006</v>
      </c>
      <c r="I387" s="17">
        <v>38.090000000000003</v>
      </c>
      <c r="J387" s="17">
        <v>242.8</v>
      </c>
      <c r="K387" s="27">
        <v>86.48</v>
      </c>
      <c r="L387" s="17" t="s">
        <v>21</v>
      </c>
    </row>
    <row r="388" spans="1:12" x14ac:dyDescent="0.25">
      <c r="A388" s="12">
        <v>2021</v>
      </c>
      <c r="B388" s="12" t="s">
        <v>37</v>
      </c>
      <c r="C388" s="12" t="s">
        <v>18</v>
      </c>
      <c r="D388" s="12" t="s">
        <v>14</v>
      </c>
      <c r="E388" s="13">
        <v>7734</v>
      </c>
      <c r="F388" s="23">
        <v>10384187.42</v>
      </c>
      <c r="G388" s="29">
        <v>2.4300000000000002</v>
      </c>
      <c r="H388" s="29">
        <v>37.340000000000003</v>
      </c>
      <c r="I388" s="12">
        <v>20.93</v>
      </c>
      <c r="J388" s="12">
        <v>122.97</v>
      </c>
      <c r="K388" s="26">
        <v>82.42</v>
      </c>
      <c r="L388" s="12" t="s">
        <v>17</v>
      </c>
    </row>
    <row r="389" spans="1:12" x14ac:dyDescent="0.25">
      <c r="A389" s="17">
        <v>2021</v>
      </c>
      <c r="B389" s="17" t="s">
        <v>37</v>
      </c>
      <c r="C389" s="17" t="s">
        <v>20</v>
      </c>
      <c r="D389" s="17" t="s">
        <v>14</v>
      </c>
      <c r="E389" s="18">
        <v>40180</v>
      </c>
      <c r="F389" s="24">
        <v>8451472.2209999897</v>
      </c>
      <c r="G389" s="30">
        <v>3.22</v>
      </c>
      <c r="H389" s="30">
        <v>52.55</v>
      </c>
      <c r="I389" s="17">
        <v>44.45</v>
      </c>
      <c r="J389" s="17">
        <v>97.8</v>
      </c>
      <c r="K389" s="27">
        <v>53.34</v>
      </c>
      <c r="L389" s="17" t="s">
        <v>27</v>
      </c>
    </row>
    <row r="390" spans="1:12" x14ac:dyDescent="0.25">
      <c r="A390" s="12">
        <v>2021</v>
      </c>
      <c r="B390" s="12" t="s">
        <v>37</v>
      </c>
      <c r="C390" s="12" t="s">
        <v>22</v>
      </c>
      <c r="D390" s="12" t="s">
        <v>14</v>
      </c>
      <c r="E390" s="13">
        <v>39509</v>
      </c>
      <c r="F390" s="23">
        <v>57709591.710000001</v>
      </c>
      <c r="G390" s="29">
        <v>0.439999999999999</v>
      </c>
      <c r="H390" s="29">
        <v>52.43</v>
      </c>
      <c r="I390" s="12">
        <v>9.26</v>
      </c>
      <c r="J390" s="12">
        <v>214.47</v>
      </c>
      <c r="K390" s="26">
        <v>84.68</v>
      </c>
      <c r="L390" s="12" t="s">
        <v>19</v>
      </c>
    </row>
    <row r="391" spans="1:12" x14ac:dyDescent="0.25">
      <c r="A391" s="17">
        <v>2021</v>
      </c>
      <c r="B391" s="17" t="s">
        <v>37</v>
      </c>
      <c r="C391" s="17" t="s">
        <v>23</v>
      </c>
      <c r="D391" s="17" t="s">
        <v>24</v>
      </c>
      <c r="E391" s="18">
        <v>7653</v>
      </c>
      <c r="F391" s="24">
        <v>25848407.75</v>
      </c>
      <c r="G391" s="30">
        <v>6.33</v>
      </c>
      <c r="H391" s="30">
        <v>66.02</v>
      </c>
      <c r="I391" s="17">
        <v>9.81</v>
      </c>
      <c r="J391" s="17">
        <v>183.48</v>
      </c>
      <c r="K391" s="27">
        <v>54.28</v>
      </c>
      <c r="L391" s="17" t="s">
        <v>19</v>
      </c>
    </row>
    <row r="392" spans="1:12" x14ac:dyDescent="0.25">
      <c r="A392" s="12">
        <v>2021</v>
      </c>
      <c r="B392" s="12" t="s">
        <v>37</v>
      </c>
      <c r="C392" s="12" t="s">
        <v>25</v>
      </c>
      <c r="D392" s="12" t="s">
        <v>24</v>
      </c>
      <c r="E392" s="13">
        <v>10112</v>
      </c>
      <c r="F392" s="23">
        <v>41338291.909999996</v>
      </c>
      <c r="G392" s="29">
        <v>3.44</v>
      </c>
      <c r="H392" s="29">
        <v>40.869999999999997</v>
      </c>
      <c r="I392" s="12">
        <v>37.22</v>
      </c>
      <c r="J392" s="12">
        <v>93.6</v>
      </c>
      <c r="K392" s="26">
        <v>72.67</v>
      </c>
      <c r="L392" s="12" t="s">
        <v>15</v>
      </c>
    </row>
    <row r="393" spans="1:12" x14ac:dyDescent="0.25">
      <c r="A393" s="17">
        <v>2021</v>
      </c>
      <c r="B393" s="17" t="s">
        <v>37</v>
      </c>
      <c r="C393" s="17" t="s">
        <v>26</v>
      </c>
      <c r="D393" s="17" t="s">
        <v>24</v>
      </c>
      <c r="E393" s="18">
        <v>63494</v>
      </c>
      <c r="F393" s="24">
        <v>10304716.720000001</v>
      </c>
      <c r="G393" s="30">
        <v>3.98</v>
      </c>
      <c r="H393" s="30">
        <v>74.63</v>
      </c>
      <c r="I393" s="17">
        <v>53.48</v>
      </c>
      <c r="J393" s="17">
        <v>296.12</v>
      </c>
      <c r="K393" s="27">
        <v>93.14</v>
      </c>
      <c r="L393" s="17" t="s">
        <v>21</v>
      </c>
    </row>
    <row r="394" spans="1:12" x14ac:dyDescent="0.25">
      <c r="A394" s="12">
        <v>2021</v>
      </c>
      <c r="B394" s="12" t="s">
        <v>37</v>
      </c>
      <c r="C394" s="12" t="s">
        <v>28</v>
      </c>
      <c r="D394" s="12" t="s">
        <v>24</v>
      </c>
      <c r="E394" s="13">
        <v>40197</v>
      </c>
      <c r="F394" s="23">
        <v>47733241.810000002</v>
      </c>
      <c r="G394" s="29">
        <v>4.21</v>
      </c>
      <c r="H394" s="29">
        <v>63.71</v>
      </c>
      <c r="I394" s="12">
        <v>37.93</v>
      </c>
      <c r="J394" s="12">
        <v>70.52</v>
      </c>
      <c r="K394" s="26">
        <v>74.59</v>
      </c>
      <c r="L394" s="12" t="s">
        <v>27</v>
      </c>
    </row>
    <row r="395" spans="1:12" x14ac:dyDescent="0.25">
      <c r="A395" s="17">
        <v>2021</v>
      </c>
      <c r="B395" s="17" t="s">
        <v>37</v>
      </c>
      <c r="C395" s="17" t="s">
        <v>29</v>
      </c>
      <c r="D395" s="17" t="s">
        <v>24</v>
      </c>
      <c r="E395" s="18">
        <v>28000</v>
      </c>
      <c r="F395" s="24">
        <v>39976458.880000003</v>
      </c>
      <c r="G395" s="30">
        <v>6.67</v>
      </c>
      <c r="H395" s="30">
        <v>56.79</v>
      </c>
      <c r="I395" s="17">
        <v>11.35</v>
      </c>
      <c r="J395" s="17">
        <v>240.77</v>
      </c>
      <c r="K395" s="27">
        <v>51.48</v>
      </c>
      <c r="L395" s="17" t="s">
        <v>15</v>
      </c>
    </row>
    <row r="396" spans="1:12" x14ac:dyDescent="0.25">
      <c r="A396" s="12">
        <v>2021</v>
      </c>
      <c r="B396" s="12" t="s">
        <v>37</v>
      </c>
      <c r="C396" s="12" t="s">
        <v>30</v>
      </c>
      <c r="D396" s="12" t="s">
        <v>24</v>
      </c>
      <c r="E396" s="13">
        <v>30537</v>
      </c>
      <c r="F396" s="23">
        <v>33782555.279999897</v>
      </c>
      <c r="G396" s="29">
        <v>6.26</v>
      </c>
      <c r="H396" s="29">
        <v>48.75</v>
      </c>
      <c r="I396" s="12">
        <v>15.75</v>
      </c>
      <c r="J396" s="12">
        <v>162.28</v>
      </c>
      <c r="K396" s="26">
        <v>64.739999999999995</v>
      </c>
      <c r="L396" s="12" t="s">
        <v>17</v>
      </c>
    </row>
    <row r="397" spans="1:12" x14ac:dyDescent="0.25">
      <c r="A397" s="17">
        <v>2021</v>
      </c>
      <c r="B397" s="17" t="s">
        <v>37</v>
      </c>
      <c r="C397" s="17" t="s">
        <v>31</v>
      </c>
      <c r="D397" s="17" t="s">
        <v>24</v>
      </c>
      <c r="E397" s="18">
        <v>16890</v>
      </c>
      <c r="F397" s="24">
        <v>10789418.339999899</v>
      </c>
      <c r="G397" s="30">
        <v>3.36</v>
      </c>
      <c r="H397" s="30">
        <v>73.7</v>
      </c>
      <c r="I397" s="17">
        <v>27.02</v>
      </c>
      <c r="J397" s="17">
        <v>202.39</v>
      </c>
      <c r="K397" s="27">
        <v>52.08</v>
      </c>
      <c r="L397" s="17" t="s">
        <v>27</v>
      </c>
    </row>
    <row r="398" spans="1:12" x14ac:dyDescent="0.25">
      <c r="A398" s="12">
        <v>2021</v>
      </c>
      <c r="B398" s="12" t="s">
        <v>37</v>
      </c>
      <c r="C398" s="12" t="s">
        <v>32</v>
      </c>
      <c r="D398" s="12" t="s">
        <v>24</v>
      </c>
      <c r="E398" s="13">
        <v>50895</v>
      </c>
      <c r="F398" s="23">
        <v>58673135.229999997</v>
      </c>
      <c r="G398" s="29">
        <v>5.33</v>
      </c>
      <c r="H398" s="29">
        <v>57.73</v>
      </c>
      <c r="I398" s="12">
        <v>31.67</v>
      </c>
      <c r="J398" s="12">
        <v>226.07</v>
      </c>
      <c r="K398" s="26">
        <v>94.36</v>
      </c>
      <c r="L398" s="12" t="s">
        <v>15</v>
      </c>
    </row>
    <row r="399" spans="1:12" x14ac:dyDescent="0.25">
      <c r="A399" s="17">
        <v>2021</v>
      </c>
      <c r="B399" s="17" t="s">
        <v>37</v>
      </c>
      <c r="C399" s="17" t="s">
        <v>33</v>
      </c>
      <c r="D399" s="17" t="s">
        <v>24</v>
      </c>
      <c r="E399" s="18">
        <v>14293</v>
      </c>
      <c r="F399" s="24">
        <v>84264943.840000004</v>
      </c>
      <c r="G399" s="30">
        <v>3.84</v>
      </c>
      <c r="H399" s="30">
        <v>95.98</v>
      </c>
      <c r="I399" s="17">
        <v>19.39</v>
      </c>
      <c r="J399" s="17">
        <v>139.82</v>
      </c>
      <c r="K399" s="27">
        <v>81.790000000000006</v>
      </c>
      <c r="L399" s="17" t="s">
        <v>15</v>
      </c>
    </row>
    <row r="400" spans="1:12" x14ac:dyDescent="0.25">
      <c r="A400" s="12">
        <v>2021</v>
      </c>
      <c r="B400" s="12" t="s">
        <v>37</v>
      </c>
      <c r="C400" s="12" t="s">
        <v>34</v>
      </c>
      <c r="D400" s="12" t="s">
        <v>24</v>
      </c>
      <c r="E400" s="13">
        <v>18172</v>
      </c>
      <c r="F400" s="23">
        <v>7206944.6519999998</v>
      </c>
      <c r="G400" s="29">
        <v>5.16</v>
      </c>
      <c r="H400" s="29">
        <v>68.44</v>
      </c>
      <c r="I400" s="12">
        <v>22.27</v>
      </c>
      <c r="J400" s="12">
        <v>184.61</v>
      </c>
      <c r="K400" s="26">
        <v>68.86</v>
      </c>
      <c r="L400" s="12" t="s">
        <v>27</v>
      </c>
    </row>
    <row r="401" spans="1:12" x14ac:dyDescent="0.25">
      <c r="A401" s="17">
        <v>2021</v>
      </c>
      <c r="B401" s="17" t="s">
        <v>12</v>
      </c>
      <c r="C401" s="17" t="s">
        <v>13</v>
      </c>
      <c r="D401" s="17" t="s">
        <v>14</v>
      </c>
      <c r="E401" s="18">
        <v>44456</v>
      </c>
      <c r="F401" s="24">
        <v>14331275.99</v>
      </c>
      <c r="G401" s="30">
        <v>0.64999999999999902</v>
      </c>
      <c r="H401" s="30">
        <v>61.11</v>
      </c>
      <c r="I401" s="17">
        <v>40.369999999999997</v>
      </c>
      <c r="J401" s="17">
        <v>129.5</v>
      </c>
      <c r="K401" s="27">
        <v>66.930000000000007</v>
      </c>
      <c r="L401" s="17" t="s">
        <v>21</v>
      </c>
    </row>
    <row r="402" spans="1:12" x14ac:dyDescent="0.25">
      <c r="A402" s="12">
        <v>2021</v>
      </c>
      <c r="B402" s="12" t="s">
        <v>12</v>
      </c>
      <c r="C402" s="12" t="s">
        <v>16</v>
      </c>
      <c r="D402" s="12" t="s">
        <v>14</v>
      </c>
      <c r="E402" s="13">
        <v>6548</v>
      </c>
      <c r="F402" s="23">
        <v>54168172.520000003</v>
      </c>
      <c r="G402" s="29">
        <v>2.64</v>
      </c>
      <c r="H402" s="29">
        <v>63.01</v>
      </c>
      <c r="I402" s="12">
        <v>17.850000000000001</v>
      </c>
      <c r="J402" s="12">
        <v>279.58</v>
      </c>
      <c r="K402" s="26">
        <v>73.97</v>
      </c>
      <c r="L402" s="12" t="s">
        <v>27</v>
      </c>
    </row>
    <row r="403" spans="1:12" x14ac:dyDescent="0.25">
      <c r="A403" s="17">
        <v>2021</v>
      </c>
      <c r="B403" s="17" t="s">
        <v>12</v>
      </c>
      <c r="C403" s="17" t="s">
        <v>18</v>
      </c>
      <c r="D403" s="17" t="s">
        <v>14</v>
      </c>
      <c r="E403" s="18">
        <v>36129</v>
      </c>
      <c r="F403" s="24">
        <v>28657040.440000001</v>
      </c>
      <c r="G403" s="30">
        <v>0.49</v>
      </c>
      <c r="H403" s="30">
        <v>60.6</v>
      </c>
      <c r="I403" s="17">
        <v>1.5699999999999901</v>
      </c>
      <c r="J403" s="17">
        <v>209.38</v>
      </c>
      <c r="K403" s="27">
        <v>62.41</v>
      </c>
      <c r="L403" s="17" t="s">
        <v>19</v>
      </c>
    </row>
    <row r="404" spans="1:12" x14ac:dyDescent="0.25">
      <c r="A404" s="12">
        <v>2021</v>
      </c>
      <c r="B404" s="12" t="s">
        <v>12</v>
      </c>
      <c r="C404" s="12" t="s">
        <v>20</v>
      </c>
      <c r="D404" s="12" t="s">
        <v>14</v>
      </c>
      <c r="E404" s="13">
        <v>36476</v>
      </c>
      <c r="F404" s="23">
        <v>9769649.4360000007</v>
      </c>
      <c r="G404" s="29">
        <v>0.39999999999999902</v>
      </c>
      <c r="H404" s="29">
        <v>67.05</v>
      </c>
      <c r="I404" s="12">
        <v>29.96</v>
      </c>
      <c r="J404" s="12">
        <v>138.12</v>
      </c>
      <c r="K404" s="26">
        <v>52.54</v>
      </c>
      <c r="L404" s="12" t="s">
        <v>27</v>
      </c>
    </row>
    <row r="405" spans="1:12" x14ac:dyDescent="0.25">
      <c r="A405" s="17">
        <v>2021</v>
      </c>
      <c r="B405" s="17" t="s">
        <v>12</v>
      </c>
      <c r="C405" s="17" t="s">
        <v>22</v>
      </c>
      <c r="D405" s="17" t="s">
        <v>14</v>
      </c>
      <c r="E405" s="18">
        <v>34090</v>
      </c>
      <c r="F405" s="24">
        <v>7777936.3679999998</v>
      </c>
      <c r="G405" s="30">
        <v>3.54</v>
      </c>
      <c r="H405" s="30">
        <v>71.27</v>
      </c>
      <c r="I405" s="17">
        <v>41.68</v>
      </c>
      <c r="J405" s="17">
        <v>171.59</v>
      </c>
      <c r="K405" s="27">
        <v>50.17</v>
      </c>
      <c r="L405" s="17" t="s">
        <v>19</v>
      </c>
    </row>
    <row r="406" spans="1:12" x14ac:dyDescent="0.25">
      <c r="A406" s="12">
        <v>2021</v>
      </c>
      <c r="B406" s="12" t="s">
        <v>12</v>
      </c>
      <c r="C406" s="12" t="s">
        <v>23</v>
      </c>
      <c r="D406" s="12" t="s">
        <v>24</v>
      </c>
      <c r="E406" s="13">
        <v>30278</v>
      </c>
      <c r="F406" s="23">
        <v>12377641.48</v>
      </c>
      <c r="G406" s="29">
        <v>3.86</v>
      </c>
      <c r="H406" s="29">
        <v>40.51</v>
      </c>
      <c r="I406" s="12">
        <v>51.79</v>
      </c>
      <c r="J406" s="12">
        <v>184.8</v>
      </c>
      <c r="K406" s="26">
        <v>61.75</v>
      </c>
      <c r="L406" s="12" t="s">
        <v>19</v>
      </c>
    </row>
    <row r="407" spans="1:12" x14ac:dyDescent="0.25">
      <c r="A407" s="17">
        <v>2021</v>
      </c>
      <c r="B407" s="17" t="s">
        <v>12</v>
      </c>
      <c r="C407" s="17" t="s">
        <v>25</v>
      </c>
      <c r="D407" s="17" t="s">
        <v>24</v>
      </c>
      <c r="E407" s="18">
        <v>57898</v>
      </c>
      <c r="F407" s="24">
        <v>19848318.309999999</v>
      </c>
      <c r="G407" s="30">
        <v>4.43</v>
      </c>
      <c r="H407" s="30">
        <v>45.27</v>
      </c>
      <c r="I407" s="17">
        <v>23.12</v>
      </c>
      <c r="J407" s="17">
        <v>277.64999999999998</v>
      </c>
      <c r="K407" s="27">
        <v>55.07</v>
      </c>
      <c r="L407" s="17" t="s">
        <v>17</v>
      </c>
    </row>
    <row r="408" spans="1:12" x14ac:dyDescent="0.25">
      <c r="A408" s="12">
        <v>2021</v>
      </c>
      <c r="B408" s="12" t="s">
        <v>12</v>
      </c>
      <c r="C408" s="12" t="s">
        <v>26</v>
      </c>
      <c r="D408" s="12" t="s">
        <v>24</v>
      </c>
      <c r="E408" s="13">
        <v>44847</v>
      </c>
      <c r="F408" s="23">
        <v>14310727.310000001</v>
      </c>
      <c r="G408" s="29">
        <v>5.07</v>
      </c>
      <c r="H408" s="29">
        <v>66.56</v>
      </c>
      <c r="I408" s="12">
        <v>16.829999999999998</v>
      </c>
      <c r="J408" s="12">
        <v>97.53</v>
      </c>
      <c r="K408" s="26">
        <v>53.5</v>
      </c>
      <c r="L408" s="12" t="s">
        <v>27</v>
      </c>
    </row>
    <row r="409" spans="1:12" x14ac:dyDescent="0.25">
      <c r="A409" s="17">
        <v>2021</v>
      </c>
      <c r="B409" s="17" t="s">
        <v>12</v>
      </c>
      <c r="C409" s="17" t="s">
        <v>28</v>
      </c>
      <c r="D409" s="17" t="s">
        <v>24</v>
      </c>
      <c r="E409" s="18">
        <v>6557</v>
      </c>
      <c r="F409" s="24">
        <v>41433407.509999998</v>
      </c>
      <c r="G409" s="30">
        <v>2.69</v>
      </c>
      <c r="H409" s="30">
        <v>94.68</v>
      </c>
      <c r="I409" s="17">
        <v>54.35</v>
      </c>
      <c r="J409" s="17">
        <v>127.45</v>
      </c>
      <c r="K409" s="27">
        <v>85.11</v>
      </c>
      <c r="L409" s="17" t="s">
        <v>15</v>
      </c>
    </row>
    <row r="410" spans="1:12" x14ac:dyDescent="0.25">
      <c r="A410" s="12">
        <v>2021</v>
      </c>
      <c r="B410" s="12" t="s">
        <v>12</v>
      </c>
      <c r="C410" s="12" t="s">
        <v>29</v>
      </c>
      <c r="D410" s="12" t="s">
        <v>24</v>
      </c>
      <c r="E410" s="13">
        <v>58334</v>
      </c>
      <c r="F410" s="23">
        <v>67042799.399999999</v>
      </c>
      <c r="G410" s="29">
        <v>6.02</v>
      </c>
      <c r="H410" s="29">
        <v>90.08</v>
      </c>
      <c r="I410" s="12">
        <v>10.35</v>
      </c>
      <c r="J410" s="12">
        <v>102.66</v>
      </c>
      <c r="K410" s="26">
        <v>60.11</v>
      </c>
      <c r="L410" s="12" t="s">
        <v>27</v>
      </c>
    </row>
    <row r="411" spans="1:12" x14ac:dyDescent="0.25">
      <c r="A411" s="17">
        <v>2021</v>
      </c>
      <c r="B411" s="17" t="s">
        <v>12</v>
      </c>
      <c r="C411" s="17" t="s">
        <v>30</v>
      </c>
      <c r="D411" s="17" t="s">
        <v>24</v>
      </c>
      <c r="E411" s="18">
        <v>42025</v>
      </c>
      <c r="F411" s="24">
        <v>46339655.030000001</v>
      </c>
      <c r="G411" s="30">
        <v>4.66</v>
      </c>
      <c r="H411" s="30">
        <v>82.85</v>
      </c>
      <c r="I411" s="17">
        <v>36.11</v>
      </c>
      <c r="J411" s="17">
        <v>176.96</v>
      </c>
      <c r="K411" s="27">
        <v>71.11</v>
      </c>
      <c r="L411" s="17" t="s">
        <v>21</v>
      </c>
    </row>
    <row r="412" spans="1:12" x14ac:dyDescent="0.25">
      <c r="A412" s="12">
        <v>2021</v>
      </c>
      <c r="B412" s="12" t="s">
        <v>12</v>
      </c>
      <c r="C412" s="12" t="s">
        <v>31</v>
      </c>
      <c r="D412" s="12" t="s">
        <v>24</v>
      </c>
      <c r="E412" s="13">
        <v>8612</v>
      </c>
      <c r="F412" s="23">
        <v>30287874.850000001</v>
      </c>
      <c r="G412" s="29">
        <v>3.62</v>
      </c>
      <c r="H412" s="29">
        <v>54.88</v>
      </c>
      <c r="I412" s="12">
        <v>52.25</v>
      </c>
      <c r="J412" s="12">
        <v>288.87</v>
      </c>
      <c r="K412" s="26">
        <v>72.55</v>
      </c>
      <c r="L412" s="12" t="s">
        <v>15</v>
      </c>
    </row>
    <row r="413" spans="1:12" x14ac:dyDescent="0.25">
      <c r="A413" s="17">
        <v>2021</v>
      </c>
      <c r="B413" s="17" t="s">
        <v>12</v>
      </c>
      <c r="C413" s="17" t="s">
        <v>32</v>
      </c>
      <c r="D413" s="17" t="s">
        <v>24</v>
      </c>
      <c r="E413" s="18">
        <v>33689</v>
      </c>
      <c r="F413" s="24">
        <v>37582037.579999998</v>
      </c>
      <c r="G413" s="30">
        <v>6.06</v>
      </c>
      <c r="H413" s="30">
        <v>97.44</v>
      </c>
      <c r="I413" s="17">
        <v>25.59</v>
      </c>
      <c r="J413" s="17">
        <v>133.77000000000001</v>
      </c>
      <c r="K413" s="27">
        <v>92.93</v>
      </c>
      <c r="L413" s="17" t="s">
        <v>27</v>
      </c>
    </row>
    <row r="414" spans="1:12" x14ac:dyDescent="0.25">
      <c r="A414" s="12">
        <v>2021</v>
      </c>
      <c r="B414" s="12" t="s">
        <v>12</v>
      </c>
      <c r="C414" s="12" t="s">
        <v>33</v>
      </c>
      <c r="D414" s="12" t="s">
        <v>24</v>
      </c>
      <c r="E414" s="13">
        <v>60093</v>
      </c>
      <c r="F414" s="23">
        <v>79592293.1639999</v>
      </c>
      <c r="G414" s="29">
        <v>3.24</v>
      </c>
      <c r="H414" s="29">
        <v>68.56</v>
      </c>
      <c r="I414" s="12">
        <v>48.17</v>
      </c>
      <c r="J414" s="12">
        <v>130.83000000000001</v>
      </c>
      <c r="K414" s="26">
        <v>75.69</v>
      </c>
      <c r="L414" s="12" t="s">
        <v>17</v>
      </c>
    </row>
    <row r="415" spans="1:12" x14ac:dyDescent="0.25">
      <c r="A415" s="17">
        <v>2021</v>
      </c>
      <c r="B415" s="17" t="s">
        <v>12</v>
      </c>
      <c r="C415" s="17" t="s">
        <v>34</v>
      </c>
      <c r="D415" s="17" t="s">
        <v>24</v>
      </c>
      <c r="E415" s="18">
        <v>50612</v>
      </c>
      <c r="F415" s="24">
        <v>24547804.329999998</v>
      </c>
      <c r="G415" s="30">
        <v>4.38</v>
      </c>
      <c r="H415" s="30">
        <v>76.13</v>
      </c>
      <c r="I415" s="17">
        <v>16.43</v>
      </c>
      <c r="J415" s="17">
        <v>58.21</v>
      </c>
      <c r="K415" s="27">
        <v>60.85</v>
      </c>
      <c r="L415" s="17" t="s">
        <v>15</v>
      </c>
    </row>
    <row r="416" spans="1:12" x14ac:dyDescent="0.25">
      <c r="A416" s="12">
        <v>2021</v>
      </c>
      <c r="B416" s="12" t="s">
        <v>35</v>
      </c>
      <c r="C416" s="12" t="s">
        <v>13</v>
      </c>
      <c r="D416" s="12" t="s">
        <v>14</v>
      </c>
      <c r="E416" s="13">
        <v>33392</v>
      </c>
      <c r="F416" s="23">
        <v>40200175.950000003</v>
      </c>
      <c r="G416" s="29">
        <v>-0.14000000000000001</v>
      </c>
      <c r="H416" s="29">
        <v>69.319999999999993</v>
      </c>
      <c r="I416" s="12">
        <v>24.76</v>
      </c>
      <c r="J416" s="12">
        <v>255.14</v>
      </c>
      <c r="K416" s="26">
        <v>39.33</v>
      </c>
      <c r="L416" s="12" t="s">
        <v>21</v>
      </c>
    </row>
    <row r="417" spans="1:12" x14ac:dyDescent="0.25">
      <c r="A417" s="17">
        <v>2021</v>
      </c>
      <c r="B417" s="17" t="s">
        <v>35</v>
      </c>
      <c r="C417" s="17" t="s">
        <v>16</v>
      </c>
      <c r="D417" s="17" t="s">
        <v>14</v>
      </c>
      <c r="E417" s="18">
        <v>20351</v>
      </c>
      <c r="F417" s="24">
        <v>10720475.02</v>
      </c>
      <c r="G417" s="30">
        <v>3.45</v>
      </c>
      <c r="H417" s="30">
        <v>77.709999999999994</v>
      </c>
      <c r="I417" s="17">
        <v>3.3</v>
      </c>
      <c r="J417" s="17">
        <v>285.13</v>
      </c>
      <c r="K417" s="27">
        <v>73.56</v>
      </c>
      <c r="L417" s="17" t="s">
        <v>21</v>
      </c>
    </row>
    <row r="418" spans="1:12" x14ac:dyDescent="0.25">
      <c r="A418" s="12">
        <v>2021</v>
      </c>
      <c r="B418" s="12" t="s">
        <v>35</v>
      </c>
      <c r="C418" s="12" t="s">
        <v>18</v>
      </c>
      <c r="D418" s="12" t="s">
        <v>14</v>
      </c>
      <c r="E418" s="13">
        <v>9689</v>
      </c>
      <c r="F418" s="23">
        <v>18237818.16</v>
      </c>
      <c r="G418" s="29">
        <v>-0.39</v>
      </c>
      <c r="H418" s="29">
        <v>45.74</v>
      </c>
      <c r="I418" s="12">
        <v>39.58</v>
      </c>
      <c r="J418" s="12">
        <v>291.06</v>
      </c>
      <c r="K418" s="26">
        <v>65.819999999999993</v>
      </c>
      <c r="L418" s="12" t="s">
        <v>21</v>
      </c>
    </row>
    <row r="419" spans="1:12" x14ac:dyDescent="0.25">
      <c r="A419" s="17">
        <v>2021</v>
      </c>
      <c r="B419" s="17" t="s">
        <v>35</v>
      </c>
      <c r="C419" s="17" t="s">
        <v>20</v>
      </c>
      <c r="D419" s="17" t="s">
        <v>14</v>
      </c>
      <c r="E419" s="18">
        <v>19360</v>
      </c>
      <c r="F419" s="24">
        <v>21067765.940000001</v>
      </c>
      <c r="G419" s="30">
        <v>0.71</v>
      </c>
      <c r="H419" s="30">
        <v>72.25</v>
      </c>
      <c r="I419" s="17">
        <v>24.64</v>
      </c>
      <c r="J419" s="17">
        <v>119.68</v>
      </c>
      <c r="K419" s="27">
        <v>71.099999999999994</v>
      </c>
      <c r="L419" s="17" t="s">
        <v>17</v>
      </c>
    </row>
    <row r="420" spans="1:12" x14ac:dyDescent="0.25">
      <c r="A420" s="12">
        <v>2021</v>
      </c>
      <c r="B420" s="12" t="s">
        <v>35</v>
      </c>
      <c r="C420" s="12" t="s">
        <v>22</v>
      </c>
      <c r="D420" s="12" t="s">
        <v>14</v>
      </c>
      <c r="E420" s="13">
        <v>41937</v>
      </c>
      <c r="F420" s="23">
        <v>10442280.66</v>
      </c>
      <c r="G420" s="29">
        <v>-0.2</v>
      </c>
      <c r="H420" s="29">
        <v>67</v>
      </c>
      <c r="I420" s="12">
        <v>23.33</v>
      </c>
      <c r="J420" s="12">
        <v>106.63</v>
      </c>
      <c r="K420" s="26">
        <v>42.6</v>
      </c>
      <c r="L420" s="12" t="s">
        <v>15</v>
      </c>
    </row>
    <row r="421" spans="1:12" x14ac:dyDescent="0.25">
      <c r="A421" s="17">
        <v>2021</v>
      </c>
      <c r="B421" s="17" t="s">
        <v>35</v>
      </c>
      <c r="C421" s="17" t="s">
        <v>23</v>
      </c>
      <c r="D421" s="17" t="s">
        <v>24</v>
      </c>
      <c r="E421" s="18">
        <v>26634</v>
      </c>
      <c r="F421" s="24">
        <v>17977115.149999999</v>
      </c>
      <c r="G421" s="30">
        <v>2.97</v>
      </c>
      <c r="H421" s="30">
        <v>45.93</v>
      </c>
      <c r="I421" s="17">
        <v>52.08</v>
      </c>
      <c r="J421" s="17">
        <v>238.86</v>
      </c>
      <c r="K421" s="27">
        <v>74.08</v>
      </c>
      <c r="L421" s="17" t="s">
        <v>19</v>
      </c>
    </row>
    <row r="422" spans="1:12" x14ac:dyDescent="0.25">
      <c r="A422" s="12">
        <v>2021</v>
      </c>
      <c r="B422" s="12" t="s">
        <v>35</v>
      </c>
      <c r="C422" s="12" t="s">
        <v>25</v>
      </c>
      <c r="D422" s="12" t="s">
        <v>24</v>
      </c>
      <c r="E422" s="13">
        <v>36653</v>
      </c>
      <c r="F422" s="23">
        <v>38555751.189999998</v>
      </c>
      <c r="G422" s="29">
        <v>4.34</v>
      </c>
      <c r="H422" s="29">
        <v>88.65</v>
      </c>
      <c r="I422" s="12">
        <v>27.12</v>
      </c>
      <c r="J422" s="12">
        <v>280.3</v>
      </c>
      <c r="K422" s="26">
        <v>66</v>
      </c>
      <c r="L422" s="12" t="s">
        <v>19</v>
      </c>
    </row>
    <row r="423" spans="1:12" x14ac:dyDescent="0.25">
      <c r="A423" s="17">
        <v>2021</v>
      </c>
      <c r="B423" s="17" t="s">
        <v>35</v>
      </c>
      <c r="C423" s="17" t="s">
        <v>26</v>
      </c>
      <c r="D423" s="17" t="s">
        <v>24</v>
      </c>
      <c r="E423" s="18">
        <v>61958</v>
      </c>
      <c r="F423" s="24">
        <v>56094433.859999903</v>
      </c>
      <c r="G423" s="30">
        <v>4.58</v>
      </c>
      <c r="H423" s="30">
        <v>59.36</v>
      </c>
      <c r="I423" s="17">
        <v>24.48</v>
      </c>
      <c r="J423" s="17">
        <v>62.63</v>
      </c>
      <c r="K423" s="27">
        <v>92.83</v>
      </c>
      <c r="L423" s="17" t="s">
        <v>15</v>
      </c>
    </row>
    <row r="424" spans="1:12" x14ac:dyDescent="0.25">
      <c r="A424" s="12">
        <v>2021</v>
      </c>
      <c r="B424" s="12" t="s">
        <v>35</v>
      </c>
      <c r="C424" s="12" t="s">
        <v>28</v>
      </c>
      <c r="D424" s="12" t="s">
        <v>24</v>
      </c>
      <c r="E424" s="13">
        <v>6501</v>
      </c>
      <c r="F424" s="23">
        <v>38321092.719999999</v>
      </c>
      <c r="G424" s="29">
        <v>5.2799999999999896</v>
      </c>
      <c r="H424" s="29">
        <v>74.459999999999994</v>
      </c>
      <c r="I424" s="12">
        <v>32.11</v>
      </c>
      <c r="J424" s="12">
        <v>93.6</v>
      </c>
      <c r="K424" s="26">
        <v>93.25</v>
      </c>
      <c r="L424" s="12" t="s">
        <v>17</v>
      </c>
    </row>
    <row r="425" spans="1:12" x14ac:dyDescent="0.25">
      <c r="A425" s="17">
        <v>2021</v>
      </c>
      <c r="B425" s="17" t="s">
        <v>35</v>
      </c>
      <c r="C425" s="17" t="s">
        <v>29</v>
      </c>
      <c r="D425" s="17" t="s">
        <v>24</v>
      </c>
      <c r="E425" s="18">
        <v>31267</v>
      </c>
      <c r="F425" s="24">
        <v>31015491.109999999</v>
      </c>
      <c r="G425" s="30">
        <v>3.11</v>
      </c>
      <c r="H425" s="30">
        <v>75.22</v>
      </c>
      <c r="I425" s="17">
        <v>36.29</v>
      </c>
      <c r="J425" s="17">
        <v>75.66</v>
      </c>
      <c r="K425" s="27">
        <v>48.08</v>
      </c>
      <c r="L425" s="17" t="s">
        <v>27</v>
      </c>
    </row>
    <row r="426" spans="1:12" x14ac:dyDescent="0.25">
      <c r="A426" s="12">
        <v>2021</v>
      </c>
      <c r="B426" s="12" t="s">
        <v>35</v>
      </c>
      <c r="C426" s="12" t="s">
        <v>30</v>
      </c>
      <c r="D426" s="12" t="s">
        <v>24</v>
      </c>
      <c r="E426" s="13">
        <v>27446</v>
      </c>
      <c r="F426" s="23">
        <v>66537700.595999897</v>
      </c>
      <c r="G426" s="29">
        <v>5.89</v>
      </c>
      <c r="H426" s="29">
        <v>93.07</v>
      </c>
      <c r="I426" s="12">
        <v>25.38</v>
      </c>
      <c r="J426" s="12">
        <v>199.61</v>
      </c>
      <c r="K426" s="26">
        <v>89.51</v>
      </c>
      <c r="L426" s="12" t="s">
        <v>21</v>
      </c>
    </row>
    <row r="427" spans="1:12" x14ac:dyDescent="0.25">
      <c r="A427" s="17">
        <v>2021</v>
      </c>
      <c r="B427" s="17" t="s">
        <v>35</v>
      </c>
      <c r="C427" s="17" t="s">
        <v>31</v>
      </c>
      <c r="D427" s="17" t="s">
        <v>24</v>
      </c>
      <c r="E427" s="18">
        <v>60479</v>
      </c>
      <c r="F427" s="24">
        <v>80946999.2519999</v>
      </c>
      <c r="G427" s="30">
        <v>4.3599999999999897</v>
      </c>
      <c r="H427" s="30">
        <v>41.23</v>
      </c>
      <c r="I427" s="17">
        <v>45.34</v>
      </c>
      <c r="J427" s="17">
        <v>215.46</v>
      </c>
      <c r="K427" s="27">
        <v>49.82</v>
      </c>
      <c r="L427" s="17" t="s">
        <v>17</v>
      </c>
    </row>
    <row r="428" spans="1:12" x14ac:dyDescent="0.25">
      <c r="A428" s="12">
        <v>2021</v>
      </c>
      <c r="B428" s="12" t="s">
        <v>35</v>
      </c>
      <c r="C428" s="12" t="s">
        <v>32</v>
      </c>
      <c r="D428" s="12" t="s">
        <v>24</v>
      </c>
      <c r="E428" s="13">
        <v>33576</v>
      </c>
      <c r="F428" s="23">
        <v>15758344.550000001</v>
      </c>
      <c r="G428" s="29">
        <v>6.65</v>
      </c>
      <c r="H428" s="29">
        <v>73.37</v>
      </c>
      <c r="I428" s="12">
        <v>14.85</v>
      </c>
      <c r="J428" s="12">
        <v>69.650000000000006</v>
      </c>
      <c r="K428" s="26">
        <v>58.52</v>
      </c>
      <c r="L428" s="12" t="s">
        <v>27</v>
      </c>
    </row>
    <row r="429" spans="1:12" x14ac:dyDescent="0.25">
      <c r="A429" s="17">
        <v>2021</v>
      </c>
      <c r="B429" s="17" t="s">
        <v>35</v>
      </c>
      <c r="C429" s="17" t="s">
        <v>33</v>
      </c>
      <c r="D429" s="17" t="s">
        <v>24</v>
      </c>
      <c r="E429" s="18">
        <v>53719</v>
      </c>
      <c r="F429" s="24">
        <v>32766472.260000002</v>
      </c>
      <c r="G429" s="30">
        <v>2.82</v>
      </c>
      <c r="H429" s="30">
        <v>96.44</v>
      </c>
      <c r="I429" s="17">
        <v>40.479999999999997</v>
      </c>
      <c r="J429" s="17">
        <v>160.44999999999999</v>
      </c>
      <c r="K429" s="27">
        <v>71.77</v>
      </c>
      <c r="L429" s="17" t="s">
        <v>17</v>
      </c>
    </row>
    <row r="430" spans="1:12" x14ac:dyDescent="0.25">
      <c r="A430" s="12">
        <v>2021</v>
      </c>
      <c r="B430" s="12" t="s">
        <v>35</v>
      </c>
      <c r="C430" s="12" t="s">
        <v>34</v>
      </c>
      <c r="D430" s="12" t="s">
        <v>24</v>
      </c>
      <c r="E430" s="13">
        <v>34710</v>
      </c>
      <c r="F430" s="23">
        <v>17998844.949999999</v>
      </c>
      <c r="G430" s="29">
        <v>5.2799999999999896</v>
      </c>
      <c r="H430" s="29">
        <v>61.27</v>
      </c>
      <c r="I430" s="12">
        <v>11.75</v>
      </c>
      <c r="J430" s="12">
        <v>237.56</v>
      </c>
      <c r="K430" s="26">
        <v>76.8</v>
      </c>
      <c r="L430" s="12" t="s">
        <v>19</v>
      </c>
    </row>
    <row r="431" spans="1:12" x14ac:dyDescent="0.25">
      <c r="A431" s="17">
        <v>2021</v>
      </c>
      <c r="B431" s="17" t="s">
        <v>36</v>
      </c>
      <c r="C431" s="17" t="s">
        <v>13</v>
      </c>
      <c r="D431" s="17" t="s">
        <v>14</v>
      </c>
      <c r="E431" s="18">
        <v>39031</v>
      </c>
      <c r="F431" s="24">
        <v>18608941.010000002</v>
      </c>
      <c r="G431" s="30">
        <v>3.81</v>
      </c>
      <c r="H431" s="30">
        <v>33.54</v>
      </c>
      <c r="I431" s="17">
        <v>15.3</v>
      </c>
      <c r="J431" s="17">
        <v>107.98</v>
      </c>
      <c r="K431" s="27">
        <v>58.3</v>
      </c>
      <c r="L431" s="17" t="s">
        <v>15</v>
      </c>
    </row>
    <row r="432" spans="1:12" x14ac:dyDescent="0.25">
      <c r="A432" s="12">
        <v>2021</v>
      </c>
      <c r="B432" s="12" t="s">
        <v>36</v>
      </c>
      <c r="C432" s="12" t="s">
        <v>16</v>
      </c>
      <c r="D432" s="12" t="s">
        <v>14</v>
      </c>
      <c r="E432" s="13">
        <v>34903</v>
      </c>
      <c r="F432" s="23">
        <v>18518248.489999998</v>
      </c>
      <c r="G432" s="29">
        <v>2.0499999999999998</v>
      </c>
      <c r="H432" s="29">
        <v>53.32</v>
      </c>
      <c r="I432" s="12">
        <v>5.41</v>
      </c>
      <c r="J432" s="12">
        <v>217.97</v>
      </c>
      <c r="K432" s="26">
        <v>54.81</v>
      </c>
      <c r="L432" s="12" t="s">
        <v>27</v>
      </c>
    </row>
    <row r="433" spans="1:12" x14ac:dyDescent="0.25">
      <c r="A433" s="17">
        <v>2021</v>
      </c>
      <c r="B433" s="17" t="s">
        <v>36</v>
      </c>
      <c r="C433" s="17" t="s">
        <v>18</v>
      </c>
      <c r="D433" s="17" t="s">
        <v>14</v>
      </c>
      <c r="E433" s="18">
        <v>35996</v>
      </c>
      <c r="F433" s="24">
        <v>23537405.350000001</v>
      </c>
      <c r="G433" s="30">
        <v>3.53</v>
      </c>
      <c r="H433" s="30">
        <v>37.57</v>
      </c>
      <c r="I433" s="17">
        <v>31.68</v>
      </c>
      <c r="J433" s="17">
        <v>291.12</v>
      </c>
      <c r="K433" s="27">
        <v>85.21</v>
      </c>
      <c r="L433" s="17" t="s">
        <v>17</v>
      </c>
    </row>
    <row r="434" spans="1:12" x14ac:dyDescent="0.25">
      <c r="A434" s="12">
        <v>2021</v>
      </c>
      <c r="B434" s="12" t="s">
        <v>36</v>
      </c>
      <c r="C434" s="12" t="s">
        <v>20</v>
      </c>
      <c r="D434" s="12" t="s">
        <v>14</v>
      </c>
      <c r="E434" s="13">
        <v>42820</v>
      </c>
      <c r="F434" s="23">
        <v>29532856.460000001</v>
      </c>
      <c r="G434" s="29">
        <v>-0.47</v>
      </c>
      <c r="H434" s="29">
        <v>68.239999999999995</v>
      </c>
      <c r="I434" s="12">
        <v>19.11</v>
      </c>
      <c r="J434" s="12">
        <v>188.16</v>
      </c>
      <c r="K434" s="26">
        <v>46.5</v>
      </c>
      <c r="L434" s="12" t="s">
        <v>17</v>
      </c>
    </row>
    <row r="435" spans="1:12" x14ac:dyDescent="0.25">
      <c r="A435" s="17">
        <v>2021</v>
      </c>
      <c r="B435" s="17" t="s">
        <v>36</v>
      </c>
      <c r="C435" s="17" t="s">
        <v>22</v>
      </c>
      <c r="D435" s="17" t="s">
        <v>14</v>
      </c>
      <c r="E435" s="18">
        <v>28881</v>
      </c>
      <c r="F435" s="24">
        <v>21441364.649999999</v>
      </c>
      <c r="G435" s="30">
        <v>0.65999999999999903</v>
      </c>
      <c r="H435" s="30">
        <v>41.69</v>
      </c>
      <c r="I435" s="17">
        <v>44.53</v>
      </c>
      <c r="J435" s="17">
        <v>269.38</v>
      </c>
      <c r="K435" s="27">
        <v>59.06</v>
      </c>
      <c r="L435" s="17" t="s">
        <v>19</v>
      </c>
    </row>
    <row r="436" spans="1:12" x14ac:dyDescent="0.25">
      <c r="A436" s="12">
        <v>2021</v>
      </c>
      <c r="B436" s="12" t="s">
        <v>36</v>
      </c>
      <c r="C436" s="12" t="s">
        <v>23</v>
      </c>
      <c r="D436" s="12" t="s">
        <v>24</v>
      </c>
      <c r="E436" s="13">
        <v>55419</v>
      </c>
      <c r="F436" s="23">
        <v>10737537.960000001</v>
      </c>
      <c r="G436" s="29">
        <v>2.59</v>
      </c>
      <c r="H436" s="29">
        <v>68.8</v>
      </c>
      <c r="I436" s="12">
        <v>35.979999999999997</v>
      </c>
      <c r="J436" s="12">
        <v>196.85</v>
      </c>
      <c r="K436" s="26">
        <v>72.959999999999994</v>
      </c>
      <c r="L436" s="12" t="s">
        <v>19</v>
      </c>
    </row>
    <row r="437" spans="1:12" x14ac:dyDescent="0.25">
      <c r="A437" s="17">
        <v>2021</v>
      </c>
      <c r="B437" s="17" t="s">
        <v>36</v>
      </c>
      <c r="C437" s="17" t="s">
        <v>25</v>
      </c>
      <c r="D437" s="17" t="s">
        <v>24</v>
      </c>
      <c r="E437" s="18">
        <v>7872</v>
      </c>
      <c r="F437" s="24">
        <v>5221237.3320000004</v>
      </c>
      <c r="G437" s="30">
        <v>4.1099999999999897</v>
      </c>
      <c r="H437" s="30">
        <v>54.57</v>
      </c>
      <c r="I437" s="17">
        <v>44.85</v>
      </c>
      <c r="J437" s="17">
        <v>202.32</v>
      </c>
      <c r="K437" s="27">
        <v>88.65</v>
      </c>
      <c r="L437" s="17" t="s">
        <v>27</v>
      </c>
    </row>
    <row r="438" spans="1:12" x14ac:dyDescent="0.25">
      <c r="A438" s="12">
        <v>2021</v>
      </c>
      <c r="B438" s="12" t="s">
        <v>36</v>
      </c>
      <c r="C438" s="12" t="s">
        <v>26</v>
      </c>
      <c r="D438" s="12" t="s">
        <v>24</v>
      </c>
      <c r="E438" s="13">
        <v>24758</v>
      </c>
      <c r="F438" s="23">
        <v>51101597.950000003</v>
      </c>
      <c r="G438" s="29">
        <v>4.72</v>
      </c>
      <c r="H438" s="29">
        <v>98.62</v>
      </c>
      <c r="I438" s="12">
        <v>35.629999999999903</v>
      </c>
      <c r="J438" s="12">
        <v>259.73</v>
      </c>
      <c r="K438" s="26">
        <v>81.14</v>
      </c>
      <c r="L438" s="12" t="s">
        <v>19</v>
      </c>
    </row>
    <row r="439" spans="1:12" x14ac:dyDescent="0.25">
      <c r="A439" s="17">
        <v>2021</v>
      </c>
      <c r="B439" s="17" t="s">
        <v>36</v>
      </c>
      <c r="C439" s="17" t="s">
        <v>28</v>
      </c>
      <c r="D439" s="17" t="s">
        <v>24</v>
      </c>
      <c r="E439" s="18">
        <v>50384</v>
      </c>
      <c r="F439" s="24">
        <v>16798329.649999999</v>
      </c>
      <c r="G439" s="30">
        <v>4.3599999999999897</v>
      </c>
      <c r="H439" s="30">
        <v>89.43</v>
      </c>
      <c r="I439" s="17">
        <v>51.51</v>
      </c>
      <c r="J439" s="17">
        <v>132.01</v>
      </c>
      <c r="K439" s="27">
        <v>80.989999999999995</v>
      </c>
      <c r="L439" s="17" t="s">
        <v>15</v>
      </c>
    </row>
    <row r="440" spans="1:12" x14ac:dyDescent="0.25">
      <c r="A440" s="12">
        <v>2021</v>
      </c>
      <c r="B440" s="12" t="s">
        <v>36</v>
      </c>
      <c r="C440" s="12" t="s">
        <v>29</v>
      </c>
      <c r="D440" s="12" t="s">
        <v>24</v>
      </c>
      <c r="E440" s="13">
        <v>8281</v>
      </c>
      <c r="F440" s="23">
        <v>15827206.449999999</v>
      </c>
      <c r="G440" s="29">
        <v>2.87</v>
      </c>
      <c r="H440" s="29">
        <v>97.24</v>
      </c>
      <c r="I440" s="12">
        <v>49.02</v>
      </c>
      <c r="J440" s="12">
        <v>297.81</v>
      </c>
      <c r="K440" s="26">
        <v>77.33</v>
      </c>
      <c r="L440" s="12" t="s">
        <v>21</v>
      </c>
    </row>
    <row r="441" spans="1:12" x14ac:dyDescent="0.25">
      <c r="A441" s="17">
        <v>2021</v>
      </c>
      <c r="B441" s="17" t="s">
        <v>36</v>
      </c>
      <c r="C441" s="17" t="s">
        <v>30</v>
      </c>
      <c r="D441" s="17" t="s">
        <v>24</v>
      </c>
      <c r="E441" s="18">
        <v>54330</v>
      </c>
      <c r="F441" s="24">
        <v>37269680.390000001</v>
      </c>
      <c r="G441" s="30">
        <v>6.02</v>
      </c>
      <c r="H441" s="30">
        <v>48.4</v>
      </c>
      <c r="I441" s="17">
        <v>15.34</v>
      </c>
      <c r="J441" s="17">
        <v>212.64</v>
      </c>
      <c r="K441" s="27">
        <v>88.87</v>
      </c>
      <c r="L441" s="17" t="s">
        <v>19</v>
      </c>
    </row>
    <row r="442" spans="1:12" x14ac:dyDescent="0.25">
      <c r="A442" s="12">
        <v>2021</v>
      </c>
      <c r="B442" s="12" t="s">
        <v>36</v>
      </c>
      <c r="C442" s="12" t="s">
        <v>31</v>
      </c>
      <c r="D442" s="12" t="s">
        <v>24</v>
      </c>
      <c r="E442" s="13">
        <v>32683</v>
      </c>
      <c r="F442" s="23">
        <v>17951923.895999901</v>
      </c>
      <c r="G442" s="29">
        <v>4.8599999999999897</v>
      </c>
      <c r="H442" s="29">
        <v>53.85</v>
      </c>
      <c r="I442" s="12">
        <v>21.86</v>
      </c>
      <c r="J442" s="12">
        <v>99.2</v>
      </c>
      <c r="K442" s="26">
        <v>71.55</v>
      </c>
      <c r="L442" s="12" t="s">
        <v>27</v>
      </c>
    </row>
    <row r="443" spans="1:12" x14ac:dyDescent="0.25">
      <c r="A443" s="17">
        <v>2021</v>
      </c>
      <c r="B443" s="17" t="s">
        <v>36</v>
      </c>
      <c r="C443" s="17" t="s">
        <v>32</v>
      </c>
      <c r="D443" s="17" t="s">
        <v>24</v>
      </c>
      <c r="E443" s="18">
        <v>58052</v>
      </c>
      <c r="F443" s="24">
        <v>45303231.340000004</v>
      </c>
      <c r="G443" s="30">
        <v>5.93</v>
      </c>
      <c r="H443" s="30">
        <v>82.65</v>
      </c>
      <c r="I443" s="17">
        <v>33.54</v>
      </c>
      <c r="J443" s="17">
        <v>271.18</v>
      </c>
      <c r="K443" s="27">
        <v>90.26</v>
      </c>
      <c r="L443" s="17" t="s">
        <v>15</v>
      </c>
    </row>
    <row r="444" spans="1:12" x14ac:dyDescent="0.25">
      <c r="A444" s="12">
        <v>2021</v>
      </c>
      <c r="B444" s="12" t="s">
        <v>36</v>
      </c>
      <c r="C444" s="12" t="s">
        <v>33</v>
      </c>
      <c r="D444" s="12" t="s">
        <v>24</v>
      </c>
      <c r="E444" s="13">
        <v>28022</v>
      </c>
      <c r="F444" s="23">
        <v>33044277.48</v>
      </c>
      <c r="G444" s="29">
        <v>3.7</v>
      </c>
      <c r="H444" s="29">
        <v>91.77</v>
      </c>
      <c r="I444" s="12">
        <v>8.11</v>
      </c>
      <c r="J444" s="12">
        <v>274.8</v>
      </c>
      <c r="K444" s="26">
        <v>87</v>
      </c>
      <c r="L444" s="12" t="s">
        <v>27</v>
      </c>
    </row>
    <row r="445" spans="1:12" x14ac:dyDescent="0.25">
      <c r="A445" s="17">
        <v>2021</v>
      </c>
      <c r="B445" s="17" t="s">
        <v>36</v>
      </c>
      <c r="C445" s="17" t="s">
        <v>34</v>
      </c>
      <c r="D445" s="17" t="s">
        <v>24</v>
      </c>
      <c r="E445" s="18">
        <v>55987</v>
      </c>
      <c r="F445" s="24">
        <v>5330566.68</v>
      </c>
      <c r="G445" s="30">
        <v>2.81</v>
      </c>
      <c r="H445" s="30">
        <v>47.52</v>
      </c>
      <c r="I445" s="17">
        <v>46.97</v>
      </c>
      <c r="J445" s="17">
        <v>166.12</v>
      </c>
      <c r="K445" s="27">
        <v>82.49</v>
      </c>
      <c r="L445" s="17" t="s">
        <v>15</v>
      </c>
    </row>
    <row r="446" spans="1:12" x14ac:dyDescent="0.25">
      <c r="A446" s="12">
        <v>2021</v>
      </c>
      <c r="B446" s="12" t="s">
        <v>37</v>
      </c>
      <c r="C446" s="12" t="s">
        <v>13</v>
      </c>
      <c r="D446" s="12" t="s">
        <v>14</v>
      </c>
      <c r="E446" s="13">
        <v>5309</v>
      </c>
      <c r="F446" s="23">
        <v>30375439.559999999</v>
      </c>
      <c r="G446" s="29">
        <v>-0.17</v>
      </c>
      <c r="H446" s="29">
        <v>38.35</v>
      </c>
      <c r="I446" s="12">
        <v>33.49</v>
      </c>
      <c r="J446" s="12">
        <v>297.3</v>
      </c>
      <c r="K446" s="26">
        <v>66.819999999999993</v>
      </c>
      <c r="L446" s="12" t="s">
        <v>15</v>
      </c>
    </row>
    <row r="447" spans="1:12" x14ac:dyDescent="0.25">
      <c r="A447" s="17">
        <v>2021</v>
      </c>
      <c r="B447" s="17" t="s">
        <v>37</v>
      </c>
      <c r="C447" s="17" t="s">
        <v>16</v>
      </c>
      <c r="D447" s="17" t="s">
        <v>14</v>
      </c>
      <c r="E447" s="18">
        <v>39415</v>
      </c>
      <c r="F447" s="24">
        <v>15774523.4</v>
      </c>
      <c r="G447" s="30">
        <v>3.44</v>
      </c>
      <c r="H447" s="30">
        <v>72.400000000000006</v>
      </c>
      <c r="I447" s="17">
        <v>38.090000000000003</v>
      </c>
      <c r="J447" s="17">
        <v>242.8</v>
      </c>
      <c r="K447" s="27">
        <v>86.48</v>
      </c>
      <c r="L447" s="17" t="s">
        <v>21</v>
      </c>
    </row>
    <row r="448" spans="1:12" x14ac:dyDescent="0.25">
      <c r="A448" s="12">
        <v>2021</v>
      </c>
      <c r="B448" s="12" t="s">
        <v>37</v>
      </c>
      <c r="C448" s="12" t="s">
        <v>18</v>
      </c>
      <c r="D448" s="12" t="s">
        <v>14</v>
      </c>
      <c r="E448" s="13">
        <v>7734</v>
      </c>
      <c r="F448" s="23">
        <v>10384187.42</v>
      </c>
      <c r="G448" s="29">
        <v>2.4300000000000002</v>
      </c>
      <c r="H448" s="29">
        <v>37.340000000000003</v>
      </c>
      <c r="I448" s="12">
        <v>20.93</v>
      </c>
      <c r="J448" s="12">
        <v>122.97</v>
      </c>
      <c r="K448" s="26">
        <v>82.42</v>
      </c>
      <c r="L448" s="12" t="s">
        <v>17</v>
      </c>
    </row>
    <row r="449" spans="1:12" x14ac:dyDescent="0.25">
      <c r="A449" s="17">
        <v>2021</v>
      </c>
      <c r="B449" s="17" t="s">
        <v>37</v>
      </c>
      <c r="C449" s="17" t="s">
        <v>20</v>
      </c>
      <c r="D449" s="17" t="s">
        <v>14</v>
      </c>
      <c r="E449" s="18">
        <v>40180</v>
      </c>
      <c r="F449" s="24">
        <v>8451472.2209999897</v>
      </c>
      <c r="G449" s="30">
        <v>3.22</v>
      </c>
      <c r="H449" s="30">
        <v>52.55</v>
      </c>
      <c r="I449" s="17">
        <v>44.45</v>
      </c>
      <c r="J449" s="17">
        <v>97.8</v>
      </c>
      <c r="K449" s="27">
        <v>53.34</v>
      </c>
      <c r="L449" s="17" t="s">
        <v>27</v>
      </c>
    </row>
    <row r="450" spans="1:12" x14ac:dyDescent="0.25">
      <c r="A450" s="12">
        <v>2021</v>
      </c>
      <c r="B450" s="12" t="s">
        <v>37</v>
      </c>
      <c r="C450" s="12" t="s">
        <v>22</v>
      </c>
      <c r="D450" s="12" t="s">
        <v>14</v>
      </c>
      <c r="E450" s="13">
        <v>39509</v>
      </c>
      <c r="F450" s="23">
        <v>57709591.710000001</v>
      </c>
      <c r="G450" s="29">
        <v>0.439999999999999</v>
      </c>
      <c r="H450" s="29">
        <v>52.43</v>
      </c>
      <c r="I450" s="12">
        <v>9.26</v>
      </c>
      <c r="J450" s="12">
        <v>214.47</v>
      </c>
      <c r="K450" s="26">
        <v>84.68</v>
      </c>
      <c r="L450" s="12" t="s">
        <v>19</v>
      </c>
    </row>
    <row r="451" spans="1:12" x14ac:dyDescent="0.25">
      <c r="A451" s="17">
        <v>2021</v>
      </c>
      <c r="B451" s="17" t="s">
        <v>37</v>
      </c>
      <c r="C451" s="17" t="s">
        <v>23</v>
      </c>
      <c r="D451" s="17" t="s">
        <v>24</v>
      </c>
      <c r="E451" s="18">
        <v>7653</v>
      </c>
      <c r="F451" s="24">
        <v>25848407.75</v>
      </c>
      <c r="G451" s="30">
        <v>6.33</v>
      </c>
      <c r="H451" s="30">
        <v>66.02</v>
      </c>
      <c r="I451" s="17">
        <v>9.81</v>
      </c>
      <c r="J451" s="17">
        <v>183.48</v>
      </c>
      <c r="K451" s="27">
        <v>54.28</v>
      </c>
      <c r="L451" s="17" t="s">
        <v>19</v>
      </c>
    </row>
    <row r="452" spans="1:12" x14ac:dyDescent="0.25">
      <c r="A452" s="12">
        <v>2021</v>
      </c>
      <c r="B452" s="12" t="s">
        <v>37</v>
      </c>
      <c r="C452" s="12" t="s">
        <v>25</v>
      </c>
      <c r="D452" s="12" t="s">
        <v>24</v>
      </c>
      <c r="E452" s="13">
        <v>10112</v>
      </c>
      <c r="F452" s="23">
        <v>41338291.909999996</v>
      </c>
      <c r="G452" s="29">
        <v>3.44</v>
      </c>
      <c r="H452" s="29">
        <v>40.869999999999997</v>
      </c>
      <c r="I452" s="12">
        <v>37.22</v>
      </c>
      <c r="J452" s="12">
        <v>93.6</v>
      </c>
      <c r="K452" s="26">
        <v>72.67</v>
      </c>
      <c r="L452" s="12" t="s">
        <v>15</v>
      </c>
    </row>
    <row r="453" spans="1:12" x14ac:dyDescent="0.25">
      <c r="A453" s="17">
        <v>2021</v>
      </c>
      <c r="B453" s="17" t="s">
        <v>37</v>
      </c>
      <c r="C453" s="17" t="s">
        <v>26</v>
      </c>
      <c r="D453" s="17" t="s">
        <v>24</v>
      </c>
      <c r="E453" s="18">
        <v>63494</v>
      </c>
      <c r="F453" s="24">
        <v>10304716.720000001</v>
      </c>
      <c r="G453" s="30">
        <v>3.98</v>
      </c>
      <c r="H453" s="30">
        <v>74.63</v>
      </c>
      <c r="I453" s="17">
        <v>53.48</v>
      </c>
      <c r="J453" s="17">
        <v>296.12</v>
      </c>
      <c r="K453" s="27">
        <v>93.14</v>
      </c>
      <c r="L453" s="17" t="s">
        <v>21</v>
      </c>
    </row>
    <row r="454" spans="1:12" x14ac:dyDescent="0.25">
      <c r="A454" s="12">
        <v>2021</v>
      </c>
      <c r="B454" s="12" t="s">
        <v>37</v>
      </c>
      <c r="C454" s="12" t="s">
        <v>28</v>
      </c>
      <c r="D454" s="12" t="s">
        <v>24</v>
      </c>
      <c r="E454" s="13">
        <v>40197</v>
      </c>
      <c r="F454" s="23">
        <v>47733241.810000002</v>
      </c>
      <c r="G454" s="29">
        <v>4.21</v>
      </c>
      <c r="H454" s="29">
        <v>63.71</v>
      </c>
      <c r="I454" s="12">
        <v>37.93</v>
      </c>
      <c r="J454" s="12">
        <v>70.52</v>
      </c>
      <c r="K454" s="26">
        <v>74.59</v>
      </c>
      <c r="L454" s="12" t="s">
        <v>27</v>
      </c>
    </row>
    <row r="455" spans="1:12" x14ac:dyDescent="0.25">
      <c r="A455" s="17">
        <v>2021</v>
      </c>
      <c r="B455" s="17" t="s">
        <v>37</v>
      </c>
      <c r="C455" s="17" t="s">
        <v>29</v>
      </c>
      <c r="D455" s="17" t="s">
        <v>24</v>
      </c>
      <c r="E455" s="18">
        <v>28000</v>
      </c>
      <c r="F455" s="24">
        <v>39976458.880000003</v>
      </c>
      <c r="G455" s="30">
        <v>6.67</v>
      </c>
      <c r="H455" s="30">
        <v>56.79</v>
      </c>
      <c r="I455" s="17">
        <v>11.35</v>
      </c>
      <c r="J455" s="17">
        <v>240.77</v>
      </c>
      <c r="K455" s="27">
        <v>51.48</v>
      </c>
      <c r="L455" s="17" t="s">
        <v>15</v>
      </c>
    </row>
    <row r="456" spans="1:12" x14ac:dyDescent="0.25">
      <c r="A456" s="12">
        <v>2021</v>
      </c>
      <c r="B456" s="12" t="s">
        <v>37</v>
      </c>
      <c r="C456" s="12" t="s">
        <v>30</v>
      </c>
      <c r="D456" s="12" t="s">
        <v>24</v>
      </c>
      <c r="E456" s="13">
        <v>30537</v>
      </c>
      <c r="F456" s="23">
        <v>33782555.279999897</v>
      </c>
      <c r="G456" s="29">
        <v>6.26</v>
      </c>
      <c r="H456" s="29">
        <v>48.75</v>
      </c>
      <c r="I456" s="12">
        <v>15.75</v>
      </c>
      <c r="J456" s="12">
        <v>162.28</v>
      </c>
      <c r="K456" s="26">
        <v>64.739999999999995</v>
      </c>
      <c r="L456" s="12" t="s">
        <v>17</v>
      </c>
    </row>
    <row r="457" spans="1:12" x14ac:dyDescent="0.25">
      <c r="A457" s="17">
        <v>2021</v>
      </c>
      <c r="B457" s="17" t="s">
        <v>37</v>
      </c>
      <c r="C457" s="17" t="s">
        <v>31</v>
      </c>
      <c r="D457" s="17" t="s">
        <v>24</v>
      </c>
      <c r="E457" s="18">
        <v>16890</v>
      </c>
      <c r="F457" s="24">
        <v>10789418.339999899</v>
      </c>
      <c r="G457" s="30">
        <v>3.36</v>
      </c>
      <c r="H457" s="30">
        <v>73.7</v>
      </c>
      <c r="I457" s="17">
        <v>27.02</v>
      </c>
      <c r="J457" s="17">
        <v>202.39</v>
      </c>
      <c r="K457" s="27">
        <v>52.08</v>
      </c>
      <c r="L457" s="17" t="s">
        <v>27</v>
      </c>
    </row>
    <row r="458" spans="1:12" x14ac:dyDescent="0.25">
      <c r="A458" s="12">
        <v>2021</v>
      </c>
      <c r="B458" s="12" t="s">
        <v>37</v>
      </c>
      <c r="C458" s="12" t="s">
        <v>32</v>
      </c>
      <c r="D458" s="12" t="s">
        <v>24</v>
      </c>
      <c r="E458" s="13">
        <v>50895</v>
      </c>
      <c r="F458" s="23">
        <v>58673135.229999997</v>
      </c>
      <c r="G458" s="29">
        <v>5.33</v>
      </c>
      <c r="H458" s="29">
        <v>57.73</v>
      </c>
      <c r="I458" s="12">
        <v>31.67</v>
      </c>
      <c r="J458" s="12">
        <v>226.07</v>
      </c>
      <c r="K458" s="26">
        <v>94.36</v>
      </c>
      <c r="L458" s="12" t="s">
        <v>15</v>
      </c>
    </row>
    <row r="459" spans="1:12" x14ac:dyDescent="0.25">
      <c r="A459" s="17">
        <v>2021</v>
      </c>
      <c r="B459" s="17" t="s">
        <v>37</v>
      </c>
      <c r="C459" s="17" t="s">
        <v>33</v>
      </c>
      <c r="D459" s="17" t="s">
        <v>24</v>
      </c>
      <c r="E459" s="18">
        <v>14293</v>
      </c>
      <c r="F459" s="24">
        <v>84264943.840000004</v>
      </c>
      <c r="G459" s="30">
        <v>3.84</v>
      </c>
      <c r="H459" s="30">
        <v>95.98</v>
      </c>
      <c r="I459" s="17">
        <v>19.39</v>
      </c>
      <c r="J459" s="17">
        <v>139.82</v>
      </c>
      <c r="K459" s="27">
        <v>81.790000000000006</v>
      </c>
      <c r="L459" s="17" t="s">
        <v>15</v>
      </c>
    </row>
    <row r="460" spans="1:12" x14ac:dyDescent="0.25">
      <c r="A460" s="12">
        <v>2021</v>
      </c>
      <c r="B460" s="12" t="s">
        <v>37</v>
      </c>
      <c r="C460" s="12" t="s">
        <v>34</v>
      </c>
      <c r="D460" s="12" t="s">
        <v>24</v>
      </c>
      <c r="E460" s="13">
        <v>18172</v>
      </c>
      <c r="F460" s="23">
        <v>7206944.6519999998</v>
      </c>
      <c r="G460" s="29">
        <v>5.16</v>
      </c>
      <c r="H460" s="29">
        <v>68.44</v>
      </c>
      <c r="I460" s="12">
        <v>22.27</v>
      </c>
      <c r="J460" s="12">
        <v>184.61</v>
      </c>
      <c r="K460" s="26">
        <v>68.86</v>
      </c>
      <c r="L460" s="12" t="s">
        <v>27</v>
      </c>
    </row>
    <row r="461" spans="1:12" x14ac:dyDescent="0.25">
      <c r="A461" s="17">
        <v>2021</v>
      </c>
      <c r="B461" s="17" t="s">
        <v>37</v>
      </c>
      <c r="C461" s="17" t="s">
        <v>16</v>
      </c>
      <c r="D461" s="17" t="s">
        <v>14</v>
      </c>
      <c r="E461" s="18">
        <v>39415</v>
      </c>
      <c r="F461" s="24">
        <v>15774523.4</v>
      </c>
      <c r="G461" s="30">
        <v>3.44</v>
      </c>
      <c r="H461" s="30">
        <v>72.400000000000006</v>
      </c>
      <c r="I461" s="17">
        <v>38.090000000000003</v>
      </c>
      <c r="J461" s="17">
        <v>242.8</v>
      </c>
      <c r="K461" s="27">
        <v>86.48</v>
      </c>
      <c r="L461" s="17" t="s">
        <v>21</v>
      </c>
    </row>
    <row r="462" spans="1:12" x14ac:dyDescent="0.25">
      <c r="A462" s="12">
        <v>2021</v>
      </c>
      <c r="B462" s="12" t="s">
        <v>12</v>
      </c>
      <c r="C462" s="12" t="s">
        <v>13</v>
      </c>
      <c r="D462" s="12" t="s">
        <v>14</v>
      </c>
      <c r="E462" s="13">
        <v>44456</v>
      </c>
      <c r="F462" s="23">
        <v>14331275.99</v>
      </c>
      <c r="G462" s="29">
        <v>0.64999999999999902</v>
      </c>
      <c r="H462" s="29">
        <v>61.11</v>
      </c>
      <c r="I462" s="12">
        <v>40.369999999999997</v>
      </c>
      <c r="J462" s="12">
        <v>129.5</v>
      </c>
      <c r="K462" s="26">
        <v>66.930000000000007</v>
      </c>
      <c r="L462" s="12" t="s">
        <v>21</v>
      </c>
    </row>
    <row r="463" spans="1:12" x14ac:dyDescent="0.25">
      <c r="A463" s="17">
        <v>2021</v>
      </c>
      <c r="B463" s="17" t="s">
        <v>35</v>
      </c>
      <c r="C463" s="17" t="s">
        <v>30</v>
      </c>
      <c r="D463" s="17" t="s">
        <v>24</v>
      </c>
      <c r="E463" s="18">
        <v>27446</v>
      </c>
      <c r="F463" s="24">
        <v>66537700.595999897</v>
      </c>
      <c r="G463" s="30">
        <v>5.89</v>
      </c>
      <c r="H463" s="30">
        <v>93.07</v>
      </c>
      <c r="I463" s="17">
        <v>25.38</v>
      </c>
      <c r="J463" s="17">
        <v>199.61</v>
      </c>
      <c r="K463" s="27">
        <v>89.51</v>
      </c>
      <c r="L463" s="17" t="s">
        <v>21</v>
      </c>
    </row>
    <row r="464" spans="1:12" x14ac:dyDescent="0.25">
      <c r="A464" s="12">
        <v>2021</v>
      </c>
      <c r="B464" s="12" t="s">
        <v>37</v>
      </c>
      <c r="C464" s="12" t="s">
        <v>30</v>
      </c>
      <c r="D464" s="12" t="s">
        <v>24</v>
      </c>
      <c r="E464" s="13">
        <v>30537</v>
      </c>
      <c r="F464" s="23">
        <v>33782555.279999897</v>
      </c>
      <c r="G464" s="29">
        <v>6.26</v>
      </c>
      <c r="H464" s="29">
        <v>48.75</v>
      </c>
      <c r="I464" s="12">
        <v>15.75</v>
      </c>
      <c r="J464" s="12">
        <v>162.28</v>
      </c>
      <c r="K464" s="26">
        <v>64.739999999999995</v>
      </c>
      <c r="L464" s="12" t="s">
        <v>17</v>
      </c>
    </row>
    <row r="465" spans="1:12" x14ac:dyDescent="0.25">
      <c r="A465" s="17">
        <v>2021</v>
      </c>
      <c r="B465" s="17" t="s">
        <v>36</v>
      </c>
      <c r="C465" s="17" t="s">
        <v>26</v>
      </c>
      <c r="D465" s="17" t="s">
        <v>24</v>
      </c>
      <c r="E465" s="18">
        <v>24758</v>
      </c>
      <c r="F465" s="24">
        <v>51101597.950000003</v>
      </c>
      <c r="G465" s="30">
        <v>4.72</v>
      </c>
      <c r="H465" s="30">
        <v>98.62</v>
      </c>
      <c r="I465" s="17">
        <v>35.629999999999903</v>
      </c>
      <c r="J465" s="17">
        <v>259.73</v>
      </c>
      <c r="K465" s="27">
        <v>81.14</v>
      </c>
      <c r="L465" s="17" t="s">
        <v>19</v>
      </c>
    </row>
    <row r="466" spans="1:12" x14ac:dyDescent="0.25">
      <c r="A466" s="12">
        <v>2021</v>
      </c>
      <c r="B466" s="12" t="s">
        <v>35</v>
      </c>
      <c r="C466" s="12" t="s">
        <v>23</v>
      </c>
      <c r="D466" s="12" t="s">
        <v>24</v>
      </c>
      <c r="E466" s="13">
        <v>26634</v>
      </c>
      <c r="F466" s="23">
        <v>17977115.149999999</v>
      </c>
      <c r="G466" s="29">
        <v>2.97</v>
      </c>
      <c r="H466" s="29">
        <v>45.93</v>
      </c>
      <c r="I466" s="12">
        <v>52.08</v>
      </c>
      <c r="J466" s="12">
        <v>238.86</v>
      </c>
      <c r="K466" s="26">
        <v>74.08</v>
      </c>
      <c r="L466" s="12" t="s">
        <v>19</v>
      </c>
    </row>
    <row r="467" spans="1:12" x14ac:dyDescent="0.25">
      <c r="A467" s="17">
        <v>2021</v>
      </c>
      <c r="B467" s="17" t="s">
        <v>35</v>
      </c>
      <c r="C467" s="17" t="s">
        <v>29</v>
      </c>
      <c r="D467" s="17" t="s">
        <v>24</v>
      </c>
      <c r="E467" s="18">
        <v>31267</v>
      </c>
      <c r="F467" s="24">
        <v>31015491.109999999</v>
      </c>
      <c r="G467" s="30">
        <v>3.11</v>
      </c>
      <c r="H467" s="30">
        <v>75.22</v>
      </c>
      <c r="I467" s="17">
        <v>36.29</v>
      </c>
      <c r="J467" s="17">
        <v>75.66</v>
      </c>
      <c r="K467" s="27">
        <v>48.08</v>
      </c>
      <c r="L467" s="17" t="s">
        <v>27</v>
      </c>
    </row>
    <row r="468" spans="1:12" x14ac:dyDescent="0.25">
      <c r="A468" s="12">
        <v>2021</v>
      </c>
      <c r="B468" s="12" t="s">
        <v>35</v>
      </c>
      <c r="C468" s="12" t="s">
        <v>20</v>
      </c>
      <c r="D468" s="12" t="s">
        <v>14</v>
      </c>
      <c r="E468" s="13">
        <v>19360</v>
      </c>
      <c r="F468" s="23">
        <v>21067765.940000001</v>
      </c>
      <c r="G468" s="29">
        <v>0.71</v>
      </c>
      <c r="H468" s="29">
        <v>72.25</v>
      </c>
      <c r="I468" s="12">
        <v>24.64</v>
      </c>
      <c r="J468" s="12">
        <v>119.68</v>
      </c>
      <c r="K468" s="26">
        <v>71.099999999999994</v>
      </c>
      <c r="L468" s="12" t="s">
        <v>17</v>
      </c>
    </row>
    <row r="469" spans="1:12" x14ac:dyDescent="0.25">
      <c r="A469" s="17">
        <v>2021</v>
      </c>
      <c r="B469" s="17" t="s">
        <v>35</v>
      </c>
      <c r="C469" s="17" t="s">
        <v>29</v>
      </c>
      <c r="D469" s="17" t="s">
        <v>24</v>
      </c>
      <c r="E469" s="18">
        <v>31267</v>
      </c>
      <c r="F469" s="24">
        <v>31015491.109999999</v>
      </c>
      <c r="G469" s="30">
        <v>3.11</v>
      </c>
      <c r="H469" s="30">
        <v>75.22</v>
      </c>
      <c r="I469" s="17">
        <v>36.29</v>
      </c>
      <c r="J469" s="17">
        <v>75.66</v>
      </c>
      <c r="K469" s="27">
        <v>48.08</v>
      </c>
      <c r="L469" s="17" t="s">
        <v>27</v>
      </c>
    </row>
    <row r="470" spans="1:12" x14ac:dyDescent="0.25">
      <c r="A470" s="12">
        <v>2021</v>
      </c>
      <c r="B470" s="12" t="s">
        <v>36</v>
      </c>
      <c r="C470" s="12" t="s">
        <v>13</v>
      </c>
      <c r="D470" s="12" t="s">
        <v>14</v>
      </c>
      <c r="E470" s="13">
        <v>39031</v>
      </c>
      <c r="F470" s="23">
        <v>18608941.010000002</v>
      </c>
      <c r="G470" s="29">
        <v>3.81</v>
      </c>
      <c r="H470" s="29">
        <v>33.54</v>
      </c>
      <c r="I470" s="12">
        <v>15.3</v>
      </c>
      <c r="J470" s="12">
        <v>107.98</v>
      </c>
      <c r="K470" s="26">
        <v>58.3</v>
      </c>
      <c r="L470" s="12" t="s">
        <v>15</v>
      </c>
    </row>
    <row r="471" spans="1:12" x14ac:dyDescent="0.25">
      <c r="A471" s="17">
        <v>2021</v>
      </c>
      <c r="B471" s="17" t="s">
        <v>12</v>
      </c>
      <c r="C471" s="17" t="s">
        <v>33</v>
      </c>
      <c r="D471" s="17" t="s">
        <v>24</v>
      </c>
      <c r="E471" s="18">
        <v>60093</v>
      </c>
      <c r="F471" s="24">
        <v>79592293.1639999</v>
      </c>
      <c r="G471" s="30">
        <v>3.24</v>
      </c>
      <c r="H471" s="30">
        <v>68.56</v>
      </c>
      <c r="I471" s="17">
        <v>48.17</v>
      </c>
      <c r="J471" s="17">
        <v>130.83000000000001</v>
      </c>
      <c r="K471" s="27">
        <v>75.69</v>
      </c>
      <c r="L471" s="17" t="s">
        <v>17</v>
      </c>
    </row>
    <row r="472" spans="1:12" x14ac:dyDescent="0.25">
      <c r="A472" s="12">
        <v>2021</v>
      </c>
      <c r="B472" s="12" t="s">
        <v>12</v>
      </c>
      <c r="C472" s="12" t="s">
        <v>25</v>
      </c>
      <c r="D472" s="12" t="s">
        <v>24</v>
      </c>
      <c r="E472" s="13">
        <v>57898</v>
      </c>
      <c r="F472" s="23">
        <v>19848318.309999999</v>
      </c>
      <c r="G472" s="29">
        <v>4.43</v>
      </c>
      <c r="H472" s="29">
        <v>45.27</v>
      </c>
      <c r="I472" s="12">
        <v>23.12</v>
      </c>
      <c r="J472" s="12">
        <v>277.64999999999998</v>
      </c>
      <c r="K472" s="26">
        <v>55.07</v>
      </c>
      <c r="L472" s="12" t="s">
        <v>17</v>
      </c>
    </row>
    <row r="473" spans="1:12" x14ac:dyDescent="0.25">
      <c r="A473" s="17">
        <v>2021</v>
      </c>
      <c r="B473" s="17" t="s">
        <v>36</v>
      </c>
      <c r="C473" s="17" t="s">
        <v>20</v>
      </c>
      <c r="D473" s="17" t="s">
        <v>14</v>
      </c>
      <c r="E473" s="18">
        <v>42820</v>
      </c>
      <c r="F473" s="24">
        <v>29532856.460000001</v>
      </c>
      <c r="G473" s="30">
        <v>-0.47</v>
      </c>
      <c r="H473" s="30">
        <v>68.239999999999995</v>
      </c>
      <c r="I473" s="17">
        <v>19.11</v>
      </c>
      <c r="J473" s="17">
        <v>188.16</v>
      </c>
      <c r="K473" s="27">
        <v>46.5</v>
      </c>
      <c r="L473" s="17" t="s">
        <v>17</v>
      </c>
    </row>
    <row r="474" spans="1:12" x14ac:dyDescent="0.25">
      <c r="A474" s="12">
        <v>2021</v>
      </c>
      <c r="B474" s="12" t="s">
        <v>35</v>
      </c>
      <c r="C474" s="12" t="s">
        <v>13</v>
      </c>
      <c r="D474" s="12" t="s">
        <v>14</v>
      </c>
      <c r="E474" s="13">
        <v>33392</v>
      </c>
      <c r="F474" s="23">
        <v>40200175.950000003</v>
      </c>
      <c r="G474" s="29">
        <v>-0.14000000000000001</v>
      </c>
      <c r="H474" s="29">
        <v>69.319999999999993</v>
      </c>
      <c r="I474" s="12">
        <v>24.76</v>
      </c>
      <c r="J474" s="12">
        <v>255.14</v>
      </c>
      <c r="K474" s="26">
        <v>39.33</v>
      </c>
      <c r="L474" s="12" t="s">
        <v>21</v>
      </c>
    </row>
    <row r="475" spans="1:12" x14ac:dyDescent="0.25">
      <c r="A475" s="17">
        <v>2021</v>
      </c>
      <c r="B475" s="17" t="s">
        <v>12</v>
      </c>
      <c r="C475" s="17" t="s">
        <v>16</v>
      </c>
      <c r="D475" s="17" t="s">
        <v>14</v>
      </c>
      <c r="E475" s="18">
        <v>6548</v>
      </c>
      <c r="F475" s="24">
        <v>54168172.520000003</v>
      </c>
      <c r="G475" s="30">
        <v>2.64</v>
      </c>
      <c r="H475" s="30">
        <v>63.01</v>
      </c>
      <c r="I475" s="17">
        <v>17.850000000000001</v>
      </c>
      <c r="J475" s="17">
        <v>279.58</v>
      </c>
      <c r="K475" s="27">
        <v>73.97</v>
      </c>
      <c r="L475" s="17" t="s">
        <v>27</v>
      </c>
    </row>
    <row r="476" spans="1:12" x14ac:dyDescent="0.25">
      <c r="A476" s="12">
        <v>2021</v>
      </c>
      <c r="B476" s="12" t="s">
        <v>35</v>
      </c>
      <c r="C476" s="12" t="s">
        <v>34</v>
      </c>
      <c r="D476" s="12" t="s">
        <v>24</v>
      </c>
      <c r="E476" s="13">
        <v>34710</v>
      </c>
      <c r="F476" s="23">
        <v>17998844.949999999</v>
      </c>
      <c r="G476" s="29">
        <v>5.2799999999999896</v>
      </c>
      <c r="H476" s="29">
        <v>61.27</v>
      </c>
      <c r="I476" s="12">
        <v>11.75</v>
      </c>
      <c r="J476" s="12">
        <v>237.56</v>
      </c>
      <c r="K476" s="26">
        <v>76.8</v>
      </c>
      <c r="L476" s="12" t="s">
        <v>19</v>
      </c>
    </row>
    <row r="477" spans="1:12" x14ac:dyDescent="0.25">
      <c r="A477" s="17">
        <v>2021</v>
      </c>
      <c r="B477" s="17" t="s">
        <v>35</v>
      </c>
      <c r="C477" s="17" t="s">
        <v>25</v>
      </c>
      <c r="D477" s="17" t="s">
        <v>24</v>
      </c>
      <c r="E477" s="18">
        <v>36653</v>
      </c>
      <c r="F477" s="24">
        <v>38555751.189999998</v>
      </c>
      <c r="G477" s="30">
        <v>4.34</v>
      </c>
      <c r="H477" s="30">
        <v>88.65</v>
      </c>
      <c r="I477" s="17">
        <v>27.12</v>
      </c>
      <c r="J477" s="17">
        <v>280.3</v>
      </c>
      <c r="K477" s="27">
        <v>66</v>
      </c>
      <c r="L477" s="17" t="s">
        <v>19</v>
      </c>
    </row>
    <row r="478" spans="1:12" x14ac:dyDescent="0.25">
      <c r="A478" s="12">
        <v>2021</v>
      </c>
      <c r="B478" s="12" t="s">
        <v>12</v>
      </c>
      <c r="C478" s="12" t="s">
        <v>22</v>
      </c>
      <c r="D478" s="12" t="s">
        <v>14</v>
      </c>
      <c r="E478" s="13">
        <v>34090</v>
      </c>
      <c r="F478" s="23">
        <v>7777936.3679999998</v>
      </c>
      <c r="G478" s="29">
        <v>3.54</v>
      </c>
      <c r="H478" s="29">
        <v>71.27</v>
      </c>
      <c r="I478" s="12">
        <v>41.68</v>
      </c>
      <c r="J478" s="12">
        <v>171.59</v>
      </c>
      <c r="K478" s="26">
        <v>50.17</v>
      </c>
      <c r="L478" s="12" t="s">
        <v>19</v>
      </c>
    </row>
    <row r="479" spans="1:12" x14ac:dyDescent="0.25">
      <c r="A479" s="17">
        <v>2021</v>
      </c>
      <c r="B479" s="17" t="s">
        <v>35</v>
      </c>
      <c r="C479" s="17" t="s">
        <v>22</v>
      </c>
      <c r="D479" s="17" t="s">
        <v>14</v>
      </c>
      <c r="E479" s="18">
        <v>41937</v>
      </c>
      <c r="F479" s="24">
        <v>10442280.66</v>
      </c>
      <c r="G479" s="30">
        <v>-0.2</v>
      </c>
      <c r="H479" s="30">
        <v>67</v>
      </c>
      <c r="I479" s="17">
        <v>23.33</v>
      </c>
      <c r="J479" s="17">
        <v>106.63</v>
      </c>
      <c r="K479" s="27">
        <v>42.6</v>
      </c>
      <c r="L479" s="17" t="s">
        <v>15</v>
      </c>
    </row>
    <row r="480" spans="1:12" x14ac:dyDescent="0.25">
      <c r="A480" s="12">
        <v>2021</v>
      </c>
      <c r="B480" s="12" t="s">
        <v>37</v>
      </c>
      <c r="C480" s="12" t="s">
        <v>23</v>
      </c>
      <c r="D480" s="12" t="s">
        <v>24</v>
      </c>
      <c r="E480" s="13">
        <v>7653</v>
      </c>
      <c r="F480" s="23">
        <v>25848407.75</v>
      </c>
      <c r="G480" s="29">
        <v>6.33</v>
      </c>
      <c r="H480" s="29">
        <v>66.02</v>
      </c>
      <c r="I480" s="12">
        <v>9.81</v>
      </c>
      <c r="J480" s="12">
        <v>183.48</v>
      </c>
      <c r="K480" s="26">
        <v>54.28</v>
      </c>
      <c r="L480" s="12" t="s">
        <v>19</v>
      </c>
    </row>
    <row r="481" spans="1:12" x14ac:dyDescent="0.25">
      <c r="A481" s="17">
        <v>2021</v>
      </c>
      <c r="B481" s="17" t="s">
        <v>35</v>
      </c>
      <c r="C481" s="17" t="s">
        <v>32</v>
      </c>
      <c r="D481" s="17" t="s">
        <v>24</v>
      </c>
      <c r="E481" s="18">
        <v>33576</v>
      </c>
      <c r="F481" s="24">
        <v>15758344.550000001</v>
      </c>
      <c r="G481" s="30">
        <v>6.65</v>
      </c>
      <c r="H481" s="30">
        <v>73.37</v>
      </c>
      <c r="I481" s="17">
        <v>14.85</v>
      </c>
      <c r="J481" s="17">
        <v>69.650000000000006</v>
      </c>
      <c r="K481" s="27">
        <v>58.52</v>
      </c>
      <c r="L481" s="17" t="s">
        <v>27</v>
      </c>
    </row>
    <row r="482" spans="1:12" x14ac:dyDescent="0.25">
      <c r="A482" s="12">
        <v>2021</v>
      </c>
      <c r="B482" s="12" t="s">
        <v>36</v>
      </c>
      <c r="C482" s="12" t="s">
        <v>16</v>
      </c>
      <c r="D482" s="12" t="s">
        <v>14</v>
      </c>
      <c r="E482" s="13">
        <v>34903</v>
      </c>
      <c r="F482" s="23">
        <v>18518248.489999998</v>
      </c>
      <c r="G482" s="29">
        <v>2.0499999999999998</v>
      </c>
      <c r="H482" s="29">
        <v>53.32</v>
      </c>
      <c r="I482" s="12">
        <v>5.41</v>
      </c>
      <c r="J482" s="12">
        <v>217.97</v>
      </c>
      <c r="K482" s="26">
        <v>54.81</v>
      </c>
      <c r="L482" s="12" t="s">
        <v>27</v>
      </c>
    </row>
    <row r="483" spans="1:12" x14ac:dyDescent="0.25">
      <c r="A483" s="17">
        <v>2021</v>
      </c>
      <c r="B483" s="17" t="s">
        <v>12</v>
      </c>
      <c r="C483" s="17" t="s">
        <v>20</v>
      </c>
      <c r="D483" s="17" t="s">
        <v>14</v>
      </c>
      <c r="E483" s="18">
        <v>36476</v>
      </c>
      <c r="F483" s="24">
        <v>9769649.4360000007</v>
      </c>
      <c r="G483" s="30">
        <v>0.39999999999999902</v>
      </c>
      <c r="H483" s="30">
        <v>67.05</v>
      </c>
      <c r="I483" s="17">
        <v>29.96</v>
      </c>
      <c r="J483" s="17">
        <v>138.12</v>
      </c>
      <c r="K483" s="27">
        <v>52.54</v>
      </c>
      <c r="L483" s="17" t="s">
        <v>27</v>
      </c>
    </row>
    <row r="484" spans="1:12" x14ac:dyDescent="0.25">
      <c r="A484" s="12">
        <v>2021</v>
      </c>
      <c r="B484" s="12" t="s">
        <v>36</v>
      </c>
      <c r="C484" s="12" t="s">
        <v>28</v>
      </c>
      <c r="D484" s="12" t="s">
        <v>24</v>
      </c>
      <c r="E484" s="13">
        <v>50384</v>
      </c>
      <c r="F484" s="23">
        <v>16798329.649999999</v>
      </c>
      <c r="G484" s="29">
        <v>4.3599999999999897</v>
      </c>
      <c r="H484" s="29">
        <v>89.43</v>
      </c>
      <c r="I484" s="12">
        <v>51.51</v>
      </c>
      <c r="J484" s="12">
        <v>132.01</v>
      </c>
      <c r="K484" s="26">
        <v>80.989999999999995</v>
      </c>
      <c r="L484" s="12" t="s">
        <v>15</v>
      </c>
    </row>
    <row r="485" spans="1:12" x14ac:dyDescent="0.25">
      <c r="A485" s="17">
        <v>2021</v>
      </c>
      <c r="B485" s="17" t="s">
        <v>35</v>
      </c>
      <c r="C485" s="17" t="s">
        <v>32</v>
      </c>
      <c r="D485" s="17" t="s">
        <v>24</v>
      </c>
      <c r="E485" s="18">
        <v>33576</v>
      </c>
      <c r="F485" s="24">
        <v>15758344.550000001</v>
      </c>
      <c r="G485" s="30">
        <v>6.65</v>
      </c>
      <c r="H485" s="30">
        <v>73.37</v>
      </c>
      <c r="I485" s="17">
        <v>14.85</v>
      </c>
      <c r="J485" s="17">
        <v>69.650000000000006</v>
      </c>
      <c r="K485" s="27">
        <v>58.52</v>
      </c>
      <c r="L485" s="17" t="s">
        <v>27</v>
      </c>
    </row>
    <row r="486" spans="1:12" x14ac:dyDescent="0.25">
      <c r="A486" s="12">
        <v>2021</v>
      </c>
      <c r="B486" s="12" t="s">
        <v>35</v>
      </c>
      <c r="C486" s="12" t="s">
        <v>32</v>
      </c>
      <c r="D486" s="12" t="s">
        <v>24</v>
      </c>
      <c r="E486" s="13">
        <v>33576</v>
      </c>
      <c r="F486" s="23">
        <v>15758344.550000001</v>
      </c>
      <c r="G486" s="29">
        <v>6.65</v>
      </c>
      <c r="H486" s="29">
        <v>73.37</v>
      </c>
      <c r="I486" s="12">
        <v>14.85</v>
      </c>
      <c r="J486" s="12">
        <v>69.650000000000006</v>
      </c>
      <c r="K486" s="26">
        <v>58.52</v>
      </c>
      <c r="L486" s="12" t="s">
        <v>27</v>
      </c>
    </row>
    <row r="487" spans="1:12" x14ac:dyDescent="0.25">
      <c r="A487" s="17">
        <v>2021</v>
      </c>
      <c r="B487" s="17" t="s">
        <v>36</v>
      </c>
      <c r="C487" s="17" t="s">
        <v>30</v>
      </c>
      <c r="D487" s="17" t="s">
        <v>24</v>
      </c>
      <c r="E487" s="18">
        <v>54330</v>
      </c>
      <c r="F487" s="24">
        <v>37269680.390000001</v>
      </c>
      <c r="G487" s="30">
        <v>6.02</v>
      </c>
      <c r="H487" s="30">
        <v>48.4</v>
      </c>
      <c r="I487" s="17">
        <v>15.34</v>
      </c>
      <c r="J487" s="17">
        <v>212.64</v>
      </c>
      <c r="K487" s="27">
        <v>88.87</v>
      </c>
      <c r="L487" s="17" t="s">
        <v>19</v>
      </c>
    </row>
    <row r="488" spans="1:12" x14ac:dyDescent="0.25">
      <c r="A488" s="12">
        <v>2021</v>
      </c>
      <c r="B488" s="12" t="s">
        <v>35</v>
      </c>
      <c r="C488" s="12" t="s">
        <v>31</v>
      </c>
      <c r="D488" s="12" t="s">
        <v>24</v>
      </c>
      <c r="E488" s="13">
        <v>60479</v>
      </c>
      <c r="F488" s="23">
        <v>80946999.2519999</v>
      </c>
      <c r="G488" s="29">
        <v>4.3599999999999897</v>
      </c>
      <c r="H488" s="29">
        <v>41.23</v>
      </c>
      <c r="I488" s="12">
        <v>45.34</v>
      </c>
      <c r="J488" s="12">
        <v>215.46</v>
      </c>
      <c r="K488" s="26">
        <v>49.82</v>
      </c>
      <c r="L488" s="12" t="s">
        <v>17</v>
      </c>
    </row>
    <row r="489" spans="1:12" x14ac:dyDescent="0.25">
      <c r="A489" s="17">
        <v>2021</v>
      </c>
      <c r="B489" s="17" t="s">
        <v>37</v>
      </c>
      <c r="C489" s="17" t="s">
        <v>28</v>
      </c>
      <c r="D489" s="17" t="s">
        <v>24</v>
      </c>
      <c r="E489" s="18">
        <v>40197</v>
      </c>
      <c r="F489" s="24">
        <v>47733241.810000002</v>
      </c>
      <c r="G489" s="30">
        <v>4.21</v>
      </c>
      <c r="H489" s="30">
        <v>63.71</v>
      </c>
      <c r="I489" s="17">
        <v>37.93</v>
      </c>
      <c r="J489" s="17">
        <v>70.52</v>
      </c>
      <c r="K489" s="27">
        <v>74.59</v>
      </c>
      <c r="L489" s="17" t="s">
        <v>27</v>
      </c>
    </row>
    <row r="490" spans="1:12" x14ac:dyDescent="0.25">
      <c r="A490" s="12">
        <v>2021</v>
      </c>
      <c r="B490" s="12" t="s">
        <v>36</v>
      </c>
      <c r="C490" s="12" t="s">
        <v>13</v>
      </c>
      <c r="D490" s="12" t="s">
        <v>14</v>
      </c>
      <c r="E490" s="13">
        <v>39031</v>
      </c>
      <c r="F490" s="23">
        <v>18608941.010000002</v>
      </c>
      <c r="G490" s="29">
        <v>3.81</v>
      </c>
      <c r="H490" s="29">
        <v>33.54</v>
      </c>
      <c r="I490" s="12">
        <v>15.3</v>
      </c>
      <c r="J490" s="12">
        <v>107.98</v>
      </c>
      <c r="K490" s="26">
        <v>58.3</v>
      </c>
      <c r="L490" s="12" t="s">
        <v>15</v>
      </c>
    </row>
    <row r="491" spans="1:12" x14ac:dyDescent="0.25">
      <c r="A491" s="17">
        <v>2021</v>
      </c>
      <c r="B491" s="17" t="s">
        <v>12</v>
      </c>
      <c r="C491" s="17" t="s">
        <v>20</v>
      </c>
      <c r="D491" s="17" t="s">
        <v>14</v>
      </c>
      <c r="E491" s="18">
        <v>36476</v>
      </c>
      <c r="F491" s="24">
        <v>9769649.4360000007</v>
      </c>
      <c r="G491" s="30">
        <v>0.39999999999999902</v>
      </c>
      <c r="H491" s="30">
        <v>67.05</v>
      </c>
      <c r="I491" s="17">
        <v>29.96</v>
      </c>
      <c r="J491" s="17">
        <v>138.12</v>
      </c>
      <c r="K491" s="27">
        <v>52.54</v>
      </c>
      <c r="L491" s="17" t="s">
        <v>27</v>
      </c>
    </row>
    <row r="492" spans="1:12" x14ac:dyDescent="0.25">
      <c r="A492" s="12">
        <v>2021</v>
      </c>
      <c r="B492" s="12" t="s">
        <v>12</v>
      </c>
      <c r="C492" s="12" t="s">
        <v>20</v>
      </c>
      <c r="D492" s="12" t="s">
        <v>14</v>
      </c>
      <c r="E492" s="13">
        <v>36476</v>
      </c>
      <c r="F492" s="23">
        <v>9769649.4360000007</v>
      </c>
      <c r="G492" s="29">
        <v>0.39999999999999902</v>
      </c>
      <c r="H492" s="29">
        <v>67.05</v>
      </c>
      <c r="I492" s="12">
        <v>29.96</v>
      </c>
      <c r="J492" s="12">
        <v>138.12</v>
      </c>
      <c r="K492" s="26">
        <v>52.54</v>
      </c>
      <c r="L492" s="12" t="s">
        <v>27</v>
      </c>
    </row>
    <row r="493" spans="1:12" x14ac:dyDescent="0.25">
      <c r="A493" s="17">
        <v>2021</v>
      </c>
      <c r="B493" s="17" t="s">
        <v>12</v>
      </c>
      <c r="C493" s="17" t="s">
        <v>22</v>
      </c>
      <c r="D493" s="17" t="s">
        <v>14</v>
      </c>
      <c r="E493" s="18">
        <v>34090</v>
      </c>
      <c r="F493" s="24">
        <v>7777936.3679999998</v>
      </c>
      <c r="G493" s="30">
        <v>3.54</v>
      </c>
      <c r="H493" s="30">
        <v>71.27</v>
      </c>
      <c r="I493" s="17">
        <v>41.68</v>
      </c>
      <c r="J493" s="17">
        <v>171.59</v>
      </c>
      <c r="K493" s="27">
        <v>50.17</v>
      </c>
      <c r="L493" s="17" t="s">
        <v>19</v>
      </c>
    </row>
    <row r="494" spans="1:12" x14ac:dyDescent="0.25">
      <c r="A494" s="12">
        <v>2021</v>
      </c>
      <c r="B494" s="12" t="s">
        <v>37</v>
      </c>
      <c r="C494" s="12" t="s">
        <v>30</v>
      </c>
      <c r="D494" s="12" t="s">
        <v>24</v>
      </c>
      <c r="E494" s="13">
        <v>30537</v>
      </c>
      <c r="F494" s="23">
        <v>33782555.279999897</v>
      </c>
      <c r="G494" s="29">
        <v>6.26</v>
      </c>
      <c r="H494" s="29">
        <v>48.75</v>
      </c>
      <c r="I494" s="12">
        <v>15.75</v>
      </c>
      <c r="J494" s="12">
        <v>162.28</v>
      </c>
      <c r="K494" s="26">
        <v>64.739999999999995</v>
      </c>
      <c r="L494" s="12" t="s">
        <v>17</v>
      </c>
    </row>
    <row r="495" spans="1:12" x14ac:dyDescent="0.25">
      <c r="A495" s="17">
        <v>2021</v>
      </c>
      <c r="B495" s="17" t="s">
        <v>36</v>
      </c>
      <c r="C495" s="17" t="s">
        <v>30</v>
      </c>
      <c r="D495" s="17" t="s">
        <v>24</v>
      </c>
      <c r="E495" s="18">
        <v>54330</v>
      </c>
      <c r="F495" s="24">
        <v>37269680.390000001</v>
      </c>
      <c r="G495" s="30">
        <v>6.02</v>
      </c>
      <c r="H495" s="30">
        <v>48.4</v>
      </c>
      <c r="I495" s="17">
        <v>15.34</v>
      </c>
      <c r="J495" s="17">
        <v>212.64</v>
      </c>
      <c r="K495" s="27">
        <v>88.87</v>
      </c>
      <c r="L495" s="17" t="s">
        <v>19</v>
      </c>
    </row>
    <row r="496" spans="1:12" x14ac:dyDescent="0.25">
      <c r="A496" s="12">
        <v>2021</v>
      </c>
      <c r="B496" s="12" t="s">
        <v>37</v>
      </c>
      <c r="C496" s="12" t="s">
        <v>31</v>
      </c>
      <c r="D496" s="12" t="s">
        <v>24</v>
      </c>
      <c r="E496" s="13">
        <v>16890</v>
      </c>
      <c r="F496" s="23">
        <v>10789418.339999899</v>
      </c>
      <c r="G496" s="29">
        <v>3.36</v>
      </c>
      <c r="H496" s="29">
        <v>73.7</v>
      </c>
      <c r="I496" s="12">
        <v>27.02</v>
      </c>
      <c r="J496" s="12">
        <v>202.39</v>
      </c>
      <c r="K496" s="26">
        <v>52.08</v>
      </c>
      <c r="L496" s="12" t="s">
        <v>27</v>
      </c>
    </row>
    <row r="497" spans="1:12" x14ac:dyDescent="0.25">
      <c r="A497" s="17">
        <v>2021</v>
      </c>
      <c r="B497" s="17" t="s">
        <v>36</v>
      </c>
      <c r="C497" s="17" t="s">
        <v>28</v>
      </c>
      <c r="D497" s="17" t="s">
        <v>24</v>
      </c>
      <c r="E497" s="18">
        <v>50384</v>
      </c>
      <c r="F497" s="24">
        <v>16798329.649999999</v>
      </c>
      <c r="G497" s="30">
        <v>4.3599999999999897</v>
      </c>
      <c r="H497" s="30">
        <v>89.43</v>
      </c>
      <c r="I497" s="17">
        <v>51.51</v>
      </c>
      <c r="J497" s="17">
        <v>132.01</v>
      </c>
      <c r="K497" s="27">
        <v>80.989999999999995</v>
      </c>
      <c r="L497" s="17" t="s">
        <v>15</v>
      </c>
    </row>
    <row r="498" spans="1:12" x14ac:dyDescent="0.25">
      <c r="A498" s="12">
        <v>2021</v>
      </c>
      <c r="B498" s="12" t="s">
        <v>35</v>
      </c>
      <c r="C498" s="12" t="s">
        <v>22</v>
      </c>
      <c r="D498" s="12" t="s">
        <v>14</v>
      </c>
      <c r="E498" s="13">
        <v>41937</v>
      </c>
      <c r="F498" s="23">
        <v>10442280.66</v>
      </c>
      <c r="G498" s="29">
        <v>-0.2</v>
      </c>
      <c r="H498" s="29">
        <v>67</v>
      </c>
      <c r="I498" s="12">
        <v>23.33</v>
      </c>
      <c r="J498" s="12">
        <v>106.63</v>
      </c>
      <c r="K498" s="26">
        <v>42.6</v>
      </c>
      <c r="L498" s="12" t="s">
        <v>15</v>
      </c>
    </row>
    <row r="499" spans="1:12" x14ac:dyDescent="0.25">
      <c r="A499" s="17">
        <v>2021</v>
      </c>
      <c r="B499" s="17" t="s">
        <v>35</v>
      </c>
      <c r="C499" s="17" t="s">
        <v>23</v>
      </c>
      <c r="D499" s="17" t="s">
        <v>24</v>
      </c>
      <c r="E499" s="18">
        <v>26634</v>
      </c>
      <c r="F499" s="24">
        <v>17977115.149999999</v>
      </c>
      <c r="G499" s="30">
        <v>2.97</v>
      </c>
      <c r="H499" s="30">
        <v>45.93</v>
      </c>
      <c r="I499" s="17">
        <v>52.08</v>
      </c>
      <c r="J499" s="17">
        <v>238.86</v>
      </c>
      <c r="K499" s="27">
        <v>74.08</v>
      </c>
      <c r="L499" s="17" t="s">
        <v>19</v>
      </c>
    </row>
    <row r="500" spans="1:12" x14ac:dyDescent="0.25">
      <c r="A500" s="12">
        <v>2021</v>
      </c>
      <c r="B500" s="12" t="s">
        <v>37</v>
      </c>
      <c r="C500" s="12" t="s">
        <v>32</v>
      </c>
      <c r="D500" s="12" t="s">
        <v>24</v>
      </c>
      <c r="E500" s="13">
        <v>50895</v>
      </c>
      <c r="F500" s="23">
        <v>58673135.229999997</v>
      </c>
      <c r="G500" s="29">
        <v>5.33</v>
      </c>
      <c r="H500" s="29">
        <v>57.73</v>
      </c>
      <c r="I500" s="12">
        <v>31.67</v>
      </c>
      <c r="J500" s="12">
        <v>226.07</v>
      </c>
      <c r="K500" s="26">
        <v>94.36</v>
      </c>
      <c r="L500" s="12" t="s">
        <v>15</v>
      </c>
    </row>
    <row r="501" spans="1:12" x14ac:dyDescent="0.25">
      <c r="A501" s="17">
        <v>2021</v>
      </c>
      <c r="B501" s="17" t="s">
        <v>12</v>
      </c>
      <c r="C501" s="17" t="s">
        <v>18</v>
      </c>
      <c r="D501" s="17" t="s">
        <v>14</v>
      </c>
      <c r="E501" s="18">
        <v>36129</v>
      </c>
      <c r="F501" s="24">
        <v>28657040.440000001</v>
      </c>
      <c r="G501" s="30">
        <v>0.49</v>
      </c>
      <c r="H501" s="30">
        <v>60.6</v>
      </c>
      <c r="I501" s="17">
        <v>1.5699999999999901</v>
      </c>
      <c r="J501" s="17">
        <v>209.38</v>
      </c>
      <c r="K501" s="27">
        <v>62.41</v>
      </c>
      <c r="L501" s="17" t="s">
        <v>19</v>
      </c>
    </row>
    <row r="502" spans="1:12" x14ac:dyDescent="0.25">
      <c r="A502" s="12">
        <v>2021</v>
      </c>
      <c r="B502" s="12" t="s">
        <v>37</v>
      </c>
      <c r="C502" s="12" t="s">
        <v>30</v>
      </c>
      <c r="D502" s="12" t="s">
        <v>24</v>
      </c>
      <c r="E502" s="13">
        <v>30537</v>
      </c>
      <c r="F502" s="23">
        <v>33782555.279999897</v>
      </c>
      <c r="G502" s="29">
        <v>6.26</v>
      </c>
      <c r="H502" s="29">
        <v>48.75</v>
      </c>
      <c r="I502" s="12">
        <v>15.75</v>
      </c>
      <c r="J502" s="12">
        <v>162.28</v>
      </c>
      <c r="K502" s="26">
        <v>64.739999999999995</v>
      </c>
      <c r="L502" s="12" t="s">
        <v>17</v>
      </c>
    </row>
    <row r="503" spans="1:12" x14ac:dyDescent="0.25">
      <c r="A503" s="17">
        <v>2021</v>
      </c>
      <c r="B503" s="17" t="s">
        <v>35</v>
      </c>
      <c r="C503" s="17" t="s">
        <v>13</v>
      </c>
      <c r="D503" s="17" t="s">
        <v>14</v>
      </c>
      <c r="E503" s="18">
        <v>33392</v>
      </c>
      <c r="F503" s="24">
        <v>40200175.950000003</v>
      </c>
      <c r="G503" s="30">
        <v>-0.14000000000000001</v>
      </c>
      <c r="H503" s="30">
        <v>69.319999999999993</v>
      </c>
      <c r="I503" s="17">
        <v>24.76</v>
      </c>
      <c r="J503" s="17">
        <v>255.14</v>
      </c>
      <c r="K503" s="27">
        <v>39.33</v>
      </c>
      <c r="L503" s="17" t="s">
        <v>21</v>
      </c>
    </row>
    <row r="504" spans="1:12" x14ac:dyDescent="0.25">
      <c r="A504" s="12">
        <v>2021</v>
      </c>
      <c r="B504" s="12" t="s">
        <v>12</v>
      </c>
      <c r="C504" s="12" t="s">
        <v>32</v>
      </c>
      <c r="D504" s="12" t="s">
        <v>24</v>
      </c>
      <c r="E504" s="13">
        <v>33689</v>
      </c>
      <c r="F504" s="23">
        <v>37582037.579999998</v>
      </c>
      <c r="G504" s="29">
        <v>6.06</v>
      </c>
      <c r="H504" s="29">
        <v>97.44</v>
      </c>
      <c r="I504" s="12">
        <v>25.59</v>
      </c>
      <c r="J504" s="12">
        <v>133.77000000000001</v>
      </c>
      <c r="K504" s="26">
        <v>92.93</v>
      </c>
      <c r="L504" s="12" t="s">
        <v>27</v>
      </c>
    </row>
    <row r="505" spans="1:12" x14ac:dyDescent="0.25">
      <c r="A505" s="17">
        <v>2021</v>
      </c>
      <c r="B505" s="17" t="s">
        <v>12</v>
      </c>
      <c r="C505" s="17" t="s">
        <v>30</v>
      </c>
      <c r="D505" s="17" t="s">
        <v>24</v>
      </c>
      <c r="E505" s="18">
        <v>42025</v>
      </c>
      <c r="F505" s="24">
        <v>46339655.030000001</v>
      </c>
      <c r="G505" s="30">
        <v>4.66</v>
      </c>
      <c r="H505" s="30">
        <v>82.85</v>
      </c>
      <c r="I505" s="17">
        <v>36.11</v>
      </c>
      <c r="J505" s="17">
        <v>176.96</v>
      </c>
      <c r="K505" s="27">
        <v>71.11</v>
      </c>
      <c r="L505" s="17" t="s">
        <v>21</v>
      </c>
    </row>
    <row r="506" spans="1:12" x14ac:dyDescent="0.25">
      <c r="A506" s="12">
        <v>2021</v>
      </c>
      <c r="B506" s="12" t="s">
        <v>35</v>
      </c>
      <c r="C506" s="12" t="s">
        <v>34</v>
      </c>
      <c r="D506" s="12" t="s">
        <v>24</v>
      </c>
      <c r="E506" s="13">
        <v>34710</v>
      </c>
      <c r="F506" s="23">
        <v>17998844.949999999</v>
      </c>
      <c r="G506" s="29">
        <v>5.2799999999999896</v>
      </c>
      <c r="H506" s="29">
        <v>61.27</v>
      </c>
      <c r="I506" s="12">
        <v>11.75</v>
      </c>
      <c r="J506" s="12">
        <v>237.56</v>
      </c>
      <c r="K506" s="26">
        <v>76.8</v>
      </c>
      <c r="L506" s="12" t="s">
        <v>19</v>
      </c>
    </row>
    <row r="507" spans="1:12" x14ac:dyDescent="0.25">
      <c r="A507" s="17">
        <v>2021</v>
      </c>
      <c r="B507" s="17" t="s">
        <v>37</v>
      </c>
      <c r="C507" s="17" t="s">
        <v>25</v>
      </c>
      <c r="D507" s="17" t="s">
        <v>24</v>
      </c>
      <c r="E507" s="18">
        <v>10112</v>
      </c>
      <c r="F507" s="24">
        <v>41338291.909999996</v>
      </c>
      <c r="G507" s="30">
        <v>3.44</v>
      </c>
      <c r="H507" s="30">
        <v>40.869999999999997</v>
      </c>
      <c r="I507" s="17">
        <v>37.22</v>
      </c>
      <c r="J507" s="17">
        <v>93.6</v>
      </c>
      <c r="K507" s="27">
        <v>72.67</v>
      </c>
      <c r="L507" s="17" t="s">
        <v>15</v>
      </c>
    </row>
    <row r="508" spans="1:12" x14ac:dyDescent="0.25">
      <c r="A508" s="12">
        <v>2021</v>
      </c>
      <c r="B508" s="12" t="s">
        <v>36</v>
      </c>
      <c r="C508" s="12" t="s">
        <v>13</v>
      </c>
      <c r="D508" s="12" t="s">
        <v>14</v>
      </c>
      <c r="E508" s="13">
        <v>39031</v>
      </c>
      <c r="F508" s="23">
        <v>18608941.010000002</v>
      </c>
      <c r="G508" s="29">
        <v>3.81</v>
      </c>
      <c r="H508" s="29">
        <v>33.54</v>
      </c>
      <c r="I508" s="12">
        <v>15.3</v>
      </c>
      <c r="J508" s="12">
        <v>107.98</v>
      </c>
      <c r="K508" s="26">
        <v>58.3</v>
      </c>
      <c r="L508" s="12" t="s">
        <v>15</v>
      </c>
    </row>
    <row r="509" spans="1:12" x14ac:dyDescent="0.25">
      <c r="A509" s="17">
        <v>2021</v>
      </c>
      <c r="B509" s="17" t="s">
        <v>36</v>
      </c>
      <c r="C509" s="17" t="s">
        <v>30</v>
      </c>
      <c r="D509" s="17" t="s">
        <v>24</v>
      </c>
      <c r="E509" s="18">
        <v>54330</v>
      </c>
      <c r="F509" s="24">
        <v>37269680.390000001</v>
      </c>
      <c r="G509" s="30">
        <v>6.02</v>
      </c>
      <c r="H509" s="30">
        <v>48.4</v>
      </c>
      <c r="I509" s="17">
        <v>15.34</v>
      </c>
      <c r="J509" s="17">
        <v>212.64</v>
      </c>
      <c r="K509" s="27">
        <v>88.87</v>
      </c>
      <c r="L509" s="17" t="s">
        <v>19</v>
      </c>
    </row>
    <row r="510" spans="1:12" x14ac:dyDescent="0.25">
      <c r="A510" s="12">
        <v>2021</v>
      </c>
      <c r="B510" s="12" t="s">
        <v>37</v>
      </c>
      <c r="C510" s="12" t="s">
        <v>22</v>
      </c>
      <c r="D510" s="12" t="s">
        <v>14</v>
      </c>
      <c r="E510" s="13">
        <v>39509</v>
      </c>
      <c r="F510" s="23">
        <v>57709591.710000001</v>
      </c>
      <c r="G510" s="29">
        <v>0.439999999999999</v>
      </c>
      <c r="H510" s="29">
        <v>52.43</v>
      </c>
      <c r="I510" s="12">
        <v>9.26</v>
      </c>
      <c r="J510" s="12">
        <v>214.47</v>
      </c>
      <c r="K510" s="26">
        <v>84.68</v>
      </c>
      <c r="L510" s="12" t="s">
        <v>19</v>
      </c>
    </row>
    <row r="511" spans="1:12" x14ac:dyDescent="0.25">
      <c r="A511" s="17">
        <v>2021</v>
      </c>
      <c r="B511" s="17" t="s">
        <v>35</v>
      </c>
      <c r="C511" s="17" t="s">
        <v>23</v>
      </c>
      <c r="D511" s="17" t="s">
        <v>24</v>
      </c>
      <c r="E511" s="18">
        <v>26634</v>
      </c>
      <c r="F511" s="24">
        <v>17977115.149999999</v>
      </c>
      <c r="G511" s="30">
        <v>2.97</v>
      </c>
      <c r="H511" s="30">
        <v>45.93</v>
      </c>
      <c r="I511" s="17">
        <v>52.08</v>
      </c>
      <c r="J511" s="17">
        <v>238.86</v>
      </c>
      <c r="K511" s="27">
        <v>74.08</v>
      </c>
      <c r="L511" s="17" t="s">
        <v>19</v>
      </c>
    </row>
    <row r="512" spans="1:12" x14ac:dyDescent="0.25">
      <c r="A512" s="12">
        <v>2022</v>
      </c>
      <c r="B512" s="12" t="s">
        <v>12</v>
      </c>
      <c r="C512" s="12" t="s">
        <v>13</v>
      </c>
      <c r="D512" s="12" t="s">
        <v>14</v>
      </c>
      <c r="E512" s="13">
        <v>23678</v>
      </c>
      <c r="F512" s="23">
        <v>23302026.23</v>
      </c>
      <c r="G512" s="29">
        <v>0.57999999999999996</v>
      </c>
      <c r="H512" s="29">
        <v>45.61</v>
      </c>
      <c r="I512" s="12">
        <v>43.79</v>
      </c>
      <c r="J512" s="12">
        <v>156.56</v>
      </c>
      <c r="K512" s="26">
        <v>72.06</v>
      </c>
      <c r="L512" s="12" t="s">
        <v>27</v>
      </c>
    </row>
    <row r="513" spans="1:12" x14ac:dyDescent="0.25">
      <c r="A513" s="17">
        <v>2022</v>
      </c>
      <c r="B513" s="17" t="s">
        <v>12</v>
      </c>
      <c r="C513" s="17" t="s">
        <v>16</v>
      </c>
      <c r="D513" s="17" t="s">
        <v>14</v>
      </c>
      <c r="E513" s="18">
        <v>24682</v>
      </c>
      <c r="F513" s="24">
        <v>30388420.881000001</v>
      </c>
      <c r="G513" s="30">
        <v>3.89</v>
      </c>
      <c r="H513" s="30">
        <v>65.349999999999994</v>
      </c>
      <c r="I513" s="17">
        <v>41.22</v>
      </c>
      <c r="J513" s="17">
        <v>202.74</v>
      </c>
      <c r="K513" s="27">
        <v>65.05</v>
      </c>
      <c r="L513" s="17" t="s">
        <v>17</v>
      </c>
    </row>
    <row r="514" spans="1:12" x14ac:dyDescent="0.25">
      <c r="A514" s="12">
        <v>2022</v>
      </c>
      <c r="B514" s="12" t="s">
        <v>12</v>
      </c>
      <c r="C514" s="12" t="s">
        <v>18</v>
      </c>
      <c r="D514" s="12" t="s">
        <v>14</v>
      </c>
      <c r="E514" s="13">
        <v>49869</v>
      </c>
      <c r="F514" s="23">
        <v>25015561.710000001</v>
      </c>
      <c r="G514" s="29">
        <v>-0.1</v>
      </c>
      <c r="H514" s="29">
        <v>66.77</v>
      </c>
      <c r="I514" s="12">
        <v>25.65</v>
      </c>
      <c r="J514" s="12">
        <v>137.77000000000001</v>
      </c>
      <c r="K514" s="26">
        <v>75.23</v>
      </c>
      <c r="L514" s="12" t="s">
        <v>21</v>
      </c>
    </row>
    <row r="515" spans="1:12" x14ac:dyDescent="0.25">
      <c r="A515" s="17">
        <v>2022</v>
      </c>
      <c r="B515" s="17" t="s">
        <v>12</v>
      </c>
      <c r="C515" s="17" t="s">
        <v>20</v>
      </c>
      <c r="D515" s="17" t="s">
        <v>14</v>
      </c>
      <c r="E515" s="18">
        <v>5718</v>
      </c>
      <c r="F515" s="24">
        <v>47611430.590000004</v>
      </c>
      <c r="G515" s="30">
        <v>3.4</v>
      </c>
      <c r="H515" s="30">
        <v>60.4</v>
      </c>
      <c r="I515" s="17">
        <v>15.37</v>
      </c>
      <c r="J515" s="17">
        <v>128.61000000000001</v>
      </c>
      <c r="K515" s="27">
        <v>41.67</v>
      </c>
      <c r="L515" s="17" t="s">
        <v>21</v>
      </c>
    </row>
    <row r="516" spans="1:12" x14ac:dyDescent="0.25">
      <c r="A516" s="12">
        <v>2022</v>
      </c>
      <c r="B516" s="12" t="s">
        <v>12</v>
      </c>
      <c r="C516" s="12" t="s">
        <v>22</v>
      </c>
      <c r="D516" s="12" t="s">
        <v>14</v>
      </c>
      <c r="E516" s="13">
        <v>35233</v>
      </c>
      <c r="F516" s="23">
        <v>10414206.279999999</v>
      </c>
      <c r="G516" s="29">
        <v>2.0099999999999998</v>
      </c>
      <c r="H516" s="29">
        <v>84.7</v>
      </c>
      <c r="I516" s="12">
        <v>12.7</v>
      </c>
      <c r="J516" s="12">
        <v>92.35</v>
      </c>
      <c r="K516" s="26">
        <v>51.97</v>
      </c>
      <c r="L516" s="12" t="s">
        <v>21</v>
      </c>
    </row>
    <row r="517" spans="1:12" x14ac:dyDescent="0.25">
      <c r="A517" s="17">
        <v>2022</v>
      </c>
      <c r="B517" s="17" t="s">
        <v>12</v>
      </c>
      <c r="C517" s="17" t="s">
        <v>23</v>
      </c>
      <c r="D517" s="17" t="s">
        <v>24</v>
      </c>
      <c r="E517" s="18">
        <v>41857</v>
      </c>
      <c r="F517" s="24">
        <v>71129083.790000007</v>
      </c>
      <c r="G517" s="30">
        <v>4.8599999999999897</v>
      </c>
      <c r="H517" s="30">
        <v>73.91</v>
      </c>
      <c r="I517" s="17">
        <v>45.53</v>
      </c>
      <c r="J517" s="17">
        <v>173.38</v>
      </c>
      <c r="K517" s="27">
        <v>53.59</v>
      </c>
      <c r="L517" s="17" t="s">
        <v>27</v>
      </c>
    </row>
    <row r="518" spans="1:12" x14ac:dyDescent="0.25">
      <c r="A518" s="12">
        <v>2022</v>
      </c>
      <c r="B518" s="12" t="s">
        <v>12</v>
      </c>
      <c r="C518" s="12" t="s">
        <v>25</v>
      </c>
      <c r="D518" s="12" t="s">
        <v>24</v>
      </c>
      <c r="E518" s="13">
        <v>33814</v>
      </c>
      <c r="F518" s="23">
        <v>62983632.700000003</v>
      </c>
      <c r="G518" s="29">
        <v>4.5599999999999996</v>
      </c>
      <c r="H518" s="29">
        <v>57.41</v>
      </c>
      <c r="I518" s="12">
        <v>21.53</v>
      </c>
      <c r="J518" s="12">
        <v>170.67</v>
      </c>
      <c r="K518" s="26">
        <v>72.61</v>
      </c>
      <c r="L518" s="12" t="s">
        <v>27</v>
      </c>
    </row>
    <row r="519" spans="1:12" x14ac:dyDescent="0.25">
      <c r="A519" s="17">
        <v>2022</v>
      </c>
      <c r="B519" s="17" t="s">
        <v>12</v>
      </c>
      <c r="C519" s="17" t="s">
        <v>26</v>
      </c>
      <c r="D519" s="17" t="s">
        <v>24</v>
      </c>
      <c r="E519" s="18">
        <v>35418</v>
      </c>
      <c r="F519" s="24">
        <v>14482116.279999999</v>
      </c>
      <c r="G519" s="30">
        <v>4.01</v>
      </c>
      <c r="H519" s="30">
        <v>91.45</v>
      </c>
      <c r="I519" s="17">
        <v>6.56</v>
      </c>
      <c r="J519" s="17">
        <v>157.75</v>
      </c>
      <c r="K519" s="27">
        <v>57.04</v>
      </c>
      <c r="L519" s="17" t="s">
        <v>27</v>
      </c>
    </row>
    <row r="520" spans="1:12" x14ac:dyDescent="0.25">
      <c r="A520" s="12">
        <v>2022</v>
      </c>
      <c r="B520" s="12" t="s">
        <v>12</v>
      </c>
      <c r="C520" s="12" t="s">
        <v>28</v>
      </c>
      <c r="D520" s="12" t="s">
        <v>24</v>
      </c>
      <c r="E520" s="13">
        <v>39933</v>
      </c>
      <c r="F520" s="23">
        <v>18632947.100000001</v>
      </c>
      <c r="G520" s="29">
        <v>2.56</v>
      </c>
      <c r="H520" s="29">
        <v>91.48</v>
      </c>
      <c r="I520" s="12">
        <v>41.08</v>
      </c>
      <c r="J520" s="12">
        <v>272.72000000000003</v>
      </c>
      <c r="K520" s="26">
        <v>57.82</v>
      </c>
      <c r="L520" s="12" t="s">
        <v>27</v>
      </c>
    </row>
    <row r="521" spans="1:12" x14ac:dyDescent="0.25">
      <c r="A521" s="17">
        <v>2022</v>
      </c>
      <c r="B521" s="17" t="s">
        <v>12</v>
      </c>
      <c r="C521" s="17" t="s">
        <v>29</v>
      </c>
      <c r="D521" s="17" t="s">
        <v>24</v>
      </c>
      <c r="E521" s="18">
        <v>6800</v>
      </c>
      <c r="F521" s="24">
        <v>6213699.6119999997</v>
      </c>
      <c r="G521" s="30">
        <v>6.1</v>
      </c>
      <c r="H521" s="30">
        <v>52.04</v>
      </c>
      <c r="I521" s="17">
        <v>54.21</v>
      </c>
      <c r="J521" s="17">
        <v>81.93</v>
      </c>
      <c r="K521" s="27">
        <v>52.88</v>
      </c>
      <c r="L521" s="17" t="s">
        <v>19</v>
      </c>
    </row>
    <row r="522" spans="1:12" x14ac:dyDescent="0.25">
      <c r="A522" s="12">
        <v>2022</v>
      </c>
      <c r="B522" s="12" t="s">
        <v>12</v>
      </c>
      <c r="C522" s="12" t="s">
        <v>30</v>
      </c>
      <c r="D522" s="12" t="s">
        <v>24</v>
      </c>
      <c r="E522" s="13">
        <v>6787</v>
      </c>
      <c r="F522" s="23">
        <v>52571041.670000002</v>
      </c>
      <c r="G522" s="29">
        <v>4.93</v>
      </c>
      <c r="H522" s="29">
        <v>103.73</v>
      </c>
      <c r="I522" s="12">
        <v>29.49</v>
      </c>
      <c r="J522" s="12">
        <v>274.81</v>
      </c>
      <c r="K522" s="26">
        <v>47.7</v>
      </c>
      <c r="L522" s="12" t="s">
        <v>17</v>
      </c>
    </row>
    <row r="523" spans="1:12" x14ac:dyDescent="0.25">
      <c r="A523" s="17">
        <v>2022</v>
      </c>
      <c r="B523" s="17" t="s">
        <v>12</v>
      </c>
      <c r="C523" s="17" t="s">
        <v>31</v>
      </c>
      <c r="D523" s="17" t="s">
        <v>24</v>
      </c>
      <c r="E523" s="18">
        <v>34677</v>
      </c>
      <c r="F523" s="24">
        <v>15661456.58</v>
      </c>
      <c r="G523" s="30">
        <v>6.11</v>
      </c>
      <c r="H523" s="30">
        <v>101.07</v>
      </c>
      <c r="I523" s="17">
        <v>48.06</v>
      </c>
      <c r="J523" s="17">
        <v>165.76</v>
      </c>
      <c r="K523" s="27">
        <v>55.31</v>
      </c>
      <c r="L523" s="17" t="s">
        <v>17</v>
      </c>
    </row>
    <row r="524" spans="1:12" x14ac:dyDescent="0.25">
      <c r="A524" s="12">
        <v>2022</v>
      </c>
      <c r="B524" s="12" t="s">
        <v>12</v>
      </c>
      <c r="C524" s="12" t="s">
        <v>32</v>
      </c>
      <c r="D524" s="12" t="s">
        <v>24</v>
      </c>
      <c r="E524" s="13">
        <v>27735</v>
      </c>
      <c r="F524" s="23">
        <v>60038350.75</v>
      </c>
      <c r="G524" s="29">
        <v>6.4</v>
      </c>
      <c r="H524" s="29">
        <v>42.86</v>
      </c>
      <c r="I524" s="12">
        <v>50.44</v>
      </c>
      <c r="J524" s="12">
        <v>118.36</v>
      </c>
      <c r="K524" s="26">
        <v>80.72</v>
      </c>
      <c r="L524" s="12" t="s">
        <v>21</v>
      </c>
    </row>
    <row r="525" spans="1:12" x14ac:dyDescent="0.25">
      <c r="A525" s="17">
        <v>2022</v>
      </c>
      <c r="B525" s="17" t="s">
        <v>12</v>
      </c>
      <c r="C525" s="17" t="s">
        <v>33</v>
      </c>
      <c r="D525" s="17" t="s">
        <v>24</v>
      </c>
      <c r="E525" s="18">
        <v>51810</v>
      </c>
      <c r="F525" s="24">
        <v>14517045.839999899</v>
      </c>
      <c r="G525" s="30">
        <v>5.73</v>
      </c>
      <c r="H525" s="30">
        <v>51.7</v>
      </c>
      <c r="I525" s="17">
        <v>7.3599999999999897</v>
      </c>
      <c r="J525" s="17">
        <v>174.15</v>
      </c>
      <c r="K525" s="27">
        <v>73.56</v>
      </c>
      <c r="L525" s="17" t="s">
        <v>15</v>
      </c>
    </row>
    <row r="526" spans="1:12" x14ac:dyDescent="0.25">
      <c r="A526" s="12">
        <v>2022</v>
      </c>
      <c r="B526" s="12" t="s">
        <v>12</v>
      </c>
      <c r="C526" s="12" t="s">
        <v>34</v>
      </c>
      <c r="D526" s="12" t="s">
        <v>24</v>
      </c>
      <c r="E526" s="13">
        <v>46166</v>
      </c>
      <c r="F526" s="23">
        <v>19455487.420000002</v>
      </c>
      <c r="G526" s="29">
        <v>4.54</v>
      </c>
      <c r="H526" s="29">
        <v>59.94</v>
      </c>
      <c r="I526" s="12">
        <v>13.25</v>
      </c>
      <c r="J526" s="12">
        <v>195.16</v>
      </c>
      <c r="K526" s="26">
        <v>74.459999999999994</v>
      </c>
      <c r="L526" s="12" t="s">
        <v>17</v>
      </c>
    </row>
    <row r="527" spans="1:12" x14ac:dyDescent="0.25">
      <c r="A527" s="17">
        <v>2022</v>
      </c>
      <c r="B527" s="17" t="s">
        <v>35</v>
      </c>
      <c r="C527" s="17" t="s">
        <v>13</v>
      </c>
      <c r="D527" s="17" t="s">
        <v>14</v>
      </c>
      <c r="E527" s="18">
        <v>47075</v>
      </c>
      <c r="F527" s="24">
        <v>9011313.3599999994</v>
      </c>
      <c r="G527" s="30">
        <v>3.15</v>
      </c>
      <c r="H527" s="30">
        <v>87.8</v>
      </c>
      <c r="I527" s="17">
        <v>23.96</v>
      </c>
      <c r="J527" s="17">
        <v>79.959999999999994</v>
      </c>
      <c r="K527" s="27">
        <v>66.239999999999995</v>
      </c>
      <c r="L527" s="17" t="s">
        <v>17</v>
      </c>
    </row>
    <row r="528" spans="1:12" x14ac:dyDescent="0.25">
      <c r="A528" s="12">
        <v>2022</v>
      </c>
      <c r="B528" s="12" t="s">
        <v>35</v>
      </c>
      <c r="C528" s="12" t="s">
        <v>16</v>
      </c>
      <c r="D528" s="12" t="s">
        <v>14</v>
      </c>
      <c r="E528" s="13">
        <v>5465</v>
      </c>
      <c r="F528" s="23">
        <v>14185149.880000001</v>
      </c>
      <c r="G528" s="29">
        <v>1.97</v>
      </c>
      <c r="H528" s="29">
        <v>73.540000000000006</v>
      </c>
      <c r="I528" s="12">
        <v>45.99</v>
      </c>
      <c r="J528" s="12">
        <v>292.18</v>
      </c>
      <c r="K528" s="26">
        <v>37.14</v>
      </c>
      <c r="L528" s="12" t="s">
        <v>21</v>
      </c>
    </row>
    <row r="529" spans="1:12" x14ac:dyDescent="0.25">
      <c r="A529" s="17">
        <v>2022</v>
      </c>
      <c r="B529" s="17" t="s">
        <v>35</v>
      </c>
      <c r="C529" s="17" t="s">
        <v>18</v>
      </c>
      <c r="D529" s="17" t="s">
        <v>14</v>
      </c>
      <c r="E529" s="18">
        <v>22036</v>
      </c>
      <c r="F529" s="24">
        <v>14156370.640000001</v>
      </c>
      <c r="G529" s="30">
        <v>2.12</v>
      </c>
      <c r="H529" s="30">
        <v>60.31</v>
      </c>
      <c r="I529" s="17">
        <v>-0.89</v>
      </c>
      <c r="J529" s="17">
        <v>298.7</v>
      </c>
      <c r="K529" s="27">
        <v>43.46</v>
      </c>
      <c r="L529" s="17" t="s">
        <v>15</v>
      </c>
    </row>
    <row r="530" spans="1:12" x14ac:dyDescent="0.25">
      <c r="A530" s="12">
        <v>2022</v>
      </c>
      <c r="B530" s="12" t="s">
        <v>35</v>
      </c>
      <c r="C530" s="12" t="s">
        <v>20</v>
      </c>
      <c r="D530" s="12" t="s">
        <v>14</v>
      </c>
      <c r="E530" s="13">
        <v>31388</v>
      </c>
      <c r="F530" s="23">
        <v>15148576.49</v>
      </c>
      <c r="G530" s="29">
        <v>3.44</v>
      </c>
      <c r="H530" s="29">
        <v>67</v>
      </c>
      <c r="I530" s="12">
        <v>45.8</v>
      </c>
      <c r="J530" s="12">
        <v>92.32</v>
      </c>
      <c r="K530" s="26">
        <v>39.57</v>
      </c>
      <c r="L530" s="12" t="s">
        <v>27</v>
      </c>
    </row>
    <row r="531" spans="1:12" x14ac:dyDescent="0.25">
      <c r="A531" s="17">
        <v>2022</v>
      </c>
      <c r="B531" s="17" t="s">
        <v>35</v>
      </c>
      <c r="C531" s="17" t="s">
        <v>22</v>
      </c>
      <c r="D531" s="17" t="s">
        <v>14</v>
      </c>
      <c r="E531" s="18">
        <v>33806</v>
      </c>
      <c r="F531" s="24">
        <v>23699378.708999999</v>
      </c>
      <c r="G531" s="30">
        <v>-0.23</v>
      </c>
      <c r="H531" s="30">
        <v>77.31</v>
      </c>
      <c r="I531" s="17">
        <v>47.51</v>
      </c>
      <c r="J531" s="17">
        <v>129.69999999999999</v>
      </c>
      <c r="K531" s="27">
        <v>78.41</v>
      </c>
      <c r="L531" s="17" t="s">
        <v>21</v>
      </c>
    </row>
    <row r="532" spans="1:12" x14ac:dyDescent="0.25">
      <c r="A532" s="12">
        <v>2022</v>
      </c>
      <c r="B532" s="12" t="s">
        <v>35</v>
      </c>
      <c r="C532" s="12" t="s">
        <v>23</v>
      </c>
      <c r="D532" s="12" t="s">
        <v>24</v>
      </c>
      <c r="E532" s="13">
        <v>46798</v>
      </c>
      <c r="F532" s="23">
        <v>34010964.590000004</v>
      </c>
      <c r="G532" s="29">
        <v>2.84</v>
      </c>
      <c r="H532" s="29">
        <v>95.15</v>
      </c>
      <c r="I532" s="12">
        <v>47.23</v>
      </c>
      <c r="J532" s="12">
        <v>287.88</v>
      </c>
      <c r="K532" s="26">
        <v>87.65</v>
      </c>
      <c r="L532" s="12" t="s">
        <v>19</v>
      </c>
    </row>
    <row r="533" spans="1:12" x14ac:dyDescent="0.25">
      <c r="A533" s="17">
        <v>2022</v>
      </c>
      <c r="B533" s="17" t="s">
        <v>35</v>
      </c>
      <c r="C533" s="17" t="s">
        <v>25</v>
      </c>
      <c r="D533" s="17" t="s">
        <v>24</v>
      </c>
      <c r="E533" s="18">
        <v>15007</v>
      </c>
      <c r="F533" s="24">
        <v>56176071.659999996</v>
      </c>
      <c r="G533" s="30">
        <v>6.81</v>
      </c>
      <c r="H533" s="30">
        <v>83.96</v>
      </c>
      <c r="I533" s="17">
        <v>44.71</v>
      </c>
      <c r="J533" s="17">
        <v>258.98</v>
      </c>
      <c r="K533" s="27">
        <v>59.6</v>
      </c>
      <c r="L533" s="17" t="s">
        <v>17</v>
      </c>
    </row>
    <row r="534" spans="1:12" x14ac:dyDescent="0.25">
      <c r="A534" s="12">
        <v>2022</v>
      </c>
      <c r="B534" s="12" t="s">
        <v>35</v>
      </c>
      <c r="C534" s="12" t="s">
        <v>26</v>
      </c>
      <c r="D534" s="12" t="s">
        <v>24</v>
      </c>
      <c r="E534" s="13">
        <v>10585</v>
      </c>
      <c r="F534" s="23">
        <v>29685804.23</v>
      </c>
      <c r="G534" s="29">
        <v>3.51</v>
      </c>
      <c r="H534" s="29">
        <v>93.42</v>
      </c>
      <c r="I534" s="12">
        <v>38.630000000000003</v>
      </c>
      <c r="J534" s="12">
        <v>171.64</v>
      </c>
      <c r="K534" s="26">
        <v>87.93</v>
      </c>
      <c r="L534" s="12" t="s">
        <v>27</v>
      </c>
    </row>
    <row r="535" spans="1:12" x14ac:dyDescent="0.25">
      <c r="A535" s="17">
        <v>2022</v>
      </c>
      <c r="B535" s="17" t="s">
        <v>35</v>
      </c>
      <c r="C535" s="17" t="s">
        <v>28</v>
      </c>
      <c r="D535" s="17" t="s">
        <v>24</v>
      </c>
      <c r="E535" s="18">
        <v>10415</v>
      </c>
      <c r="F535" s="24">
        <v>16056993.77</v>
      </c>
      <c r="G535" s="30">
        <v>2.85</v>
      </c>
      <c r="H535" s="30">
        <v>87.84</v>
      </c>
      <c r="I535" s="17">
        <v>42.48</v>
      </c>
      <c r="J535" s="17">
        <v>160.24</v>
      </c>
      <c r="K535" s="27">
        <v>51.79</v>
      </c>
      <c r="L535" s="17" t="s">
        <v>15</v>
      </c>
    </row>
    <row r="536" spans="1:12" x14ac:dyDescent="0.25">
      <c r="A536" s="12">
        <v>2022</v>
      </c>
      <c r="B536" s="12" t="s">
        <v>35</v>
      </c>
      <c r="C536" s="12" t="s">
        <v>29</v>
      </c>
      <c r="D536" s="12" t="s">
        <v>24</v>
      </c>
      <c r="E536" s="13">
        <v>54159</v>
      </c>
      <c r="F536" s="23">
        <v>43416974.450000003</v>
      </c>
      <c r="G536" s="29">
        <v>5.91</v>
      </c>
      <c r="H536" s="29">
        <v>101.8</v>
      </c>
      <c r="I536" s="12">
        <v>45.27</v>
      </c>
      <c r="J536" s="12">
        <v>232.71</v>
      </c>
      <c r="K536" s="26">
        <v>51.01</v>
      </c>
      <c r="L536" s="12" t="s">
        <v>17</v>
      </c>
    </row>
    <row r="537" spans="1:12" x14ac:dyDescent="0.25">
      <c r="A537" s="17">
        <v>2022</v>
      </c>
      <c r="B537" s="17" t="s">
        <v>35</v>
      </c>
      <c r="C537" s="17" t="s">
        <v>30</v>
      </c>
      <c r="D537" s="17" t="s">
        <v>24</v>
      </c>
      <c r="E537" s="18">
        <v>17217</v>
      </c>
      <c r="F537" s="24">
        <v>31929959.75</v>
      </c>
      <c r="G537" s="30">
        <v>3.68</v>
      </c>
      <c r="H537" s="30">
        <v>41.36</v>
      </c>
      <c r="I537" s="17">
        <v>32</v>
      </c>
      <c r="J537" s="17">
        <v>291.72000000000003</v>
      </c>
      <c r="K537" s="27">
        <v>45.78</v>
      </c>
      <c r="L537" s="17" t="s">
        <v>19</v>
      </c>
    </row>
    <row r="538" spans="1:12" x14ac:dyDescent="0.25">
      <c r="A538" s="12">
        <v>2022</v>
      </c>
      <c r="B538" s="12" t="s">
        <v>35</v>
      </c>
      <c r="C538" s="12" t="s">
        <v>31</v>
      </c>
      <c r="D538" s="12" t="s">
        <v>24</v>
      </c>
      <c r="E538" s="13">
        <v>53719</v>
      </c>
      <c r="F538" s="23">
        <v>15328592.42</v>
      </c>
      <c r="G538" s="29">
        <v>3.88</v>
      </c>
      <c r="H538" s="29">
        <v>79.25</v>
      </c>
      <c r="I538" s="12">
        <v>36.07</v>
      </c>
      <c r="J538" s="12">
        <v>286.49</v>
      </c>
      <c r="K538" s="26">
        <v>48.06</v>
      </c>
      <c r="L538" s="12" t="s">
        <v>21</v>
      </c>
    </row>
    <row r="539" spans="1:12" x14ac:dyDescent="0.25">
      <c r="A539" s="17">
        <v>2022</v>
      </c>
      <c r="B539" s="17" t="s">
        <v>35</v>
      </c>
      <c r="C539" s="17" t="s">
        <v>32</v>
      </c>
      <c r="D539" s="17" t="s">
        <v>24</v>
      </c>
      <c r="E539" s="18">
        <v>58156</v>
      </c>
      <c r="F539" s="24">
        <v>45419753.700000003</v>
      </c>
      <c r="G539" s="30">
        <v>4.2799999999999896</v>
      </c>
      <c r="H539" s="30">
        <v>88.11</v>
      </c>
      <c r="I539" s="17">
        <v>44.95</v>
      </c>
      <c r="J539" s="17">
        <v>232.59</v>
      </c>
      <c r="K539" s="27">
        <v>86.74</v>
      </c>
      <c r="L539" s="17" t="s">
        <v>19</v>
      </c>
    </row>
    <row r="540" spans="1:12" x14ac:dyDescent="0.25">
      <c r="A540" s="12">
        <v>2022</v>
      </c>
      <c r="B540" s="12" t="s">
        <v>35</v>
      </c>
      <c r="C540" s="12" t="s">
        <v>33</v>
      </c>
      <c r="D540" s="12" t="s">
        <v>24</v>
      </c>
      <c r="E540" s="13">
        <v>33117</v>
      </c>
      <c r="F540" s="23">
        <v>5432435.60399999</v>
      </c>
      <c r="G540" s="29">
        <v>6.58</v>
      </c>
      <c r="H540" s="29">
        <v>83.47</v>
      </c>
      <c r="I540" s="12">
        <v>38.520000000000003</v>
      </c>
      <c r="J540" s="12">
        <v>282.72000000000003</v>
      </c>
      <c r="K540" s="26">
        <v>86.09</v>
      </c>
      <c r="L540" s="12" t="s">
        <v>15</v>
      </c>
    </row>
    <row r="541" spans="1:12" x14ac:dyDescent="0.25">
      <c r="A541" s="17">
        <v>2022</v>
      </c>
      <c r="B541" s="17" t="s">
        <v>35</v>
      </c>
      <c r="C541" s="17" t="s">
        <v>34</v>
      </c>
      <c r="D541" s="17" t="s">
        <v>24</v>
      </c>
      <c r="E541" s="18">
        <v>24948</v>
      </c>
      <c r="F541" s="24">
        <v>7564107.5760000004</v>
      </c>
      <c r="G541" s="30">
        <v>3.51</v>
      </c>
      <c r="H541" s="30">
        <v>89.68</v>
      </c>
      <c r="I541" s="17">
        <v>53.4</v>
      </c>
      <c r="J541" s="17">
        <v>284.12</v>
      </c>
      <c r="K541" s="27">
        <v>72.56</v>
      </c>
      <c r="L541" s="17" t="s">
        <v>17</v>
      </c>
    </row>
    <row r="542" spans="1:12" x14ac:dyDescent="0.25">
      <c r="A542" s="12">
        <v>2022</v>
      </c>
      <c r="B542" s="12" t="s">
        <v>36</v>
      </c>
      <c r="C542" s="12" t="s">
        <v>13</v>
      </c>
      <c r="D542" s="12" t="s">
        <v>14</v>
      </c>
      <c r="E542" s="13">
        <v>10671</v>
      </c>
      <c r="F542" s="23">
        <v>9842035.3650000002</v>
      </c>
      <c r="G542" s="29">
        <v>0.25</v>
      </c>
      <c r="H542" s="29">
        <v>50.83</v>
      </c>
      <c r="I542" s="12">
        <v>26.94</v>
      </c>
      <c r="J542" s="12">
        <v>249.36</v>
      </c>
      <c r="K542" s="26">
        <v>77.13</v>
      </c>
      <c r="L542" s="12" t="s">
        <v>15</v>
      </c>
    </row>
    <row r="543" spans="1:12" x14ac:dyDescent="0.25">
      <c r="A543" s="17">
        <v>2022</v>
      </c>
      <c r="B543" s="17" t="s">
        <v>36</v>
      </c>
      <c r="C543" s="17" t="s">
        <v>16</v>
      </c>
      <c r="D543" s="17" t="s">
        <v>14</v>
      </c>
      <c r="E543" s="18">
        <v>27006</v>
      </c>
      <c r="F543" s="24">
        <v>5136019.5420000004</v>
      </c>
      <c r="G543" s="30">
        <v>0.36</v>
      </c>
      <c r="H543" s="30">
        <v>70.180000000000007</v>
      </c>
      <c r="I543" s="17">
        <v>-0.05</v>
      </c>
      <c r="J543" s="17">
        <v>179.88</v>
      </c>
      <c r="K543" s="27">
        <v>63.62</v>
      </c>
      <c r="L543" s="17" t="s">
        <v>19</v>
      </c>
    </row>
    <row r="544" spans="1:12" x14ac:dyDescent="0.25">
      <c r="A544" s="12">
        <v>2022</v>
      </c>
      <c r="B544" s="12" t="s">
        <v>36</v>
      </c>
      <c r="C544" s="12" t="s">
        <v>18</v>
      </c>
      <c r="D544" s="12" t="s">
        <v>14</v>
      </c>
      <c r="E544" s="13">
        <v>35658</v>
      </c>
      <c r="F544" s="23">
        <v>14607494.42</v>
      </c>
      <c r="G544" s="29">
        <v>1.18</v>
      </c>
      <c r="H544" s="29">
        <v>33.54</v>
      </c>
      <c r="I544" s="12">
        <v>9.9600000000000009</v>
      </c>
      <c r="J544" s="12">
        <v>232.38</v>
      </c>
      <c r="K544" s="26">
        <v>66.959999999999994</v>
      </c>
      <c r="L544" s="12" t="s">
        <v>15</v>
      </c>
    </row>
    <row r="545" spans="1:12" x14ac:dyDescent="0.25">
      <c r="A545" s="17">
        <v>2022</v>
      </c>
      <c r="B545" s="17" t="s">
        <v>36</v>
      </c>
      <c r="C545" s="17" t="s">
        <v>20</v>
      </c>
      <c r="D545" s="17" t="s">
        <v>14</v>
      </c>
      <c r="E545" s="18">
        <v>8330</v>
      </c>
      <c r="F545" s="24">
        <v>26191927.649999999</v>
      </c>
      <c r="G545" s="30">
        <v>4</v>
      </c>
      <c r="H545" s="30">
        <v>73.87</v>
      </c>
      <c r="I545" s="17">
        <v>24.35</v>
      </c>
      <c r="J545" s="17">
        <v>169.49</v>
      </c>
      <c r="K545" s="27">
        <v>53.29</v>
      </c>
      <c r="L545" s="17" t="s">
        <v>21</v>
      </c>
    </row>
    <row r="546" spans="1:12" x14ac:dyDescent="0.25">
      <c r="A546" s="12">
        <v>2022</v>
      </c>
      <c r="B546" s="12" t="s">
        <v>36</v>
      </c>
      <c r="C546" s="12" t="s">
        <v>22</v>
      </c>
      <c r="D546" s="12" t="s">
        <v>14</v>
      </c>
      <c r="E546" s="13">
        <v>32243</v>
      </c>
      <c r="F546" s="23">
        <v>28519800.440000001</v>
      </c>
      <c r="G546" s="29">
        <v>0.12999999999999901</v>
      </c>
      <c r="H546" s="29">
        <v>27.27</v>
      </c>
      <c r="I546" s="12">
        <v>22.56</v>
      </c>
      <c r="J546" s="12">
        <v>82.24</v>
      </c>
      <c r="K546" s="26">
        <v>53.9</v>
      </c>
      <c r="L546" s="12" t="s">
        <v>21</v>
      </c>
    </row>
    <row r="547" spans="1:12" x14ac:dyDescent="0.25">
      <c r="A547" s="17">
        <v>2022</v>
      </c>
      <c r="B547" s="17" t="s">
        <v>36</v>
      </c>
      <c r="C547" s="17" t="s">
        <v>23</v>
      </c>
      <c r="D547" s="17" t="s">
        <v>24</v>
      </c>
      <c r="E547" s="18">
        <v>49871</v>
      </c>
      <c r="F547" s="24">
        <v>8902985.2439999897</v>
      </c>
      <c r="G547" s="30">
        <v>6.82</v>
      </c>
      <c r="H547" s="30">
        <v>48.95</v>
      </c>
      <c r="I547" s="17">
        <v>18.68</v>
      </c>
      <c r="J547" s="17">
        <v>240.7</v>
      </c>
      <c r="K547" s="27">
        <v>53.91</v>
      </c>
      <c r="L547" s="17" t="s">
        <v>21</v>
      </c>
    </row>
    <row r="548" spans="1:12" x14ac:dyDescent="0.25">
      <c r="A548" s="12">
        <v>2022</v>
      </c>
      <c r="B548" s="12" t="s">
        <v>36</v>
      </c>
      <c r="C548" s="12" t="s">
        <v>25</v>
      </c>
      <c r="D548" s="12" t="s">
        <v>24</v>
      </c>
      <c r="E548" s="13">
        <v>39287</v>
      </c>
      <c r="F548" s="23">
        <v>21438284.870000001</v>
      </c>
      <c r="G548" s="29">
        <v>4.97</v>
      </c>
      <c r="H548" s="29">
        <v>70.25</v>
      </c>
      <c r="I548" s="12">
        <v>52.39</v>
      </c>
      <c r="J548" s="12">
        <v>215.78</v>
      </c>
      <c r="K548" s="26">
        <v>74.819999999999993</v>
      </c>
      <c r="L548" s="12" t="s">
        <v>21</v>
      </c>
    </row>
    <row r="549" spans="1:12" x14ac:dyDescent="0.25">
      <c r="A549" s="17">
        <v>2022</v>
      </c>
      <c r="B549" s="17" t="s">
        <v>36</v>
      </c>
      <c r="C549" s="17" t="s">
        <v>26</v>
      </c>
      <c r="D549" s="17" t="s">
        <v>24</v>
      </c>
      <c r="E549" s="18">
        <v>43668</v>
      </c>
      <c r="F549" s="24">
        <v>32615703.949999999</v>
      </c>
      <c r="G549" s="30">
        <v>3.64</v>
      </c>
      <c r="H549" s="30">
        <v>41.86</v>
      </c>
      <c r="I549" s="17">
        <v>25.87</v>
      </c>
      <c r="J549" s="17">
        <v>164.53</v>
      </c>
      <c r="K549" s="27">
        <v>62.1</v>
      </c>
      <c r="L549" s="17" t="s">
        <v>19</v>
      </c>
    </row>
    <row r="550" spans="1:12" x14ac:dyDescent="0.25">
      <c r="A550" s="12">
        <v>2022</v>
      </c>
      <c r="B550" s="12" t="s">
        <v>36</v>
      </c>
      <c r="C550" s="12" t="s">
        <v>28</v>
      </c>
      <c r="D550" s="12" t="s">
        <v>24</v>
      </c>
      <c r="E550" s="13">
        <v>64883</v>
      </c>
      <c r="F550" s="23">
        <v>70601769.767999902</v>
      </c>
      <c r="G550" s="29">
        <v>4.5999999999999996</v>
      </c>
      <c r="H550" s="29">
        <v>61.16</v>
      </c>
      <c r="I550" s="12">
        <v>31.32</v>
      </c>
      <c r="J550" s="12">
        <v>154.51</v>
      </c>
      <c r="K550" s="26">
        <v>92.8</v>
      </c>
      <c r="L550" s="12" t="s">
        <v>17</v>
      </c>
    </row>
    <row r="551" spans="1:12" x14ac:dyDescent="0.25">
      <c r="A551" s="17">
        <v>2022</v>
      </c>
      <c r="B551" s="17" t="s">
        <v>36</v>
      </c>
      <c r="C551" s="17" t="s">
        <v>29</v>
      </c>
      <c r="D551" s="17" t="s">
        <v>24</v>
      </c>
      <c r="E551" s="18">
        <v>29698</v>
      </c>
      <c r="F551" s="24">
        <v>9547956.3839999996</v>
      </c>
      <c r="G551" s="30">
        <v>3.14</v>
      </c>
      <c r="H551" s="30">
        <v>93.12</v>
      </c>
      <c r="I551" s="17">
        <v>34.76</v>
      </c>
      <c r="J551" s="17">
        <v>246.75</v>
      </c>
      <c r="K551" s="27">
        <v>65.459999999999994</v>
      </c>
      <c r="L551" s="17" t="s">
        <v>19</v>
      </c>
    </row>
    <row r="552" spans="1:12" x14ac:dyDescent="0.25">
      <c r="A552" s="12">
        <v>2022</v>
      </c>
      <c r="B552" s="12" t="s">
        <v>36</v>
      </c>
      <c r="C552" s="12" t="s">
        <v>30</v>
      </c>
      <c r="D552" s="12" t="s">
        <v>24</v>
      </c>
      <c r="E552" s="13">
        <v>16005</v>
      </c>
      <c r="F552" s="23">
        <v>41833223.630000003</v>
      </c>
      <c r="G552" s="29">
        <v>6.71</v>
      </c>
      <c r="H552" s="29">
        <v>88.73</v>
      </c>
      <c r="I552" s="12">
        <v>39.93</v>
      </c>
      <c r="J552" s="12">
        <v>281.7</v>
      </c>
      <c r="K552" s="26">
        <v>86.82</v>
      </c>
      <c r="L552" s="12" t="s">
        <v>19</v>
      </c>
    </row>
    <row r="553" spans="1:12" x14ac:dyDescent="0.25">
      <c r="A553" s="17">
        <v>2022</v>
      </c>
      <c r="B553" s="17" t="s">
        <v>36</v>
      </c>
      <c r="C553" s="17" t="s">
        <v>31</v>
      </c>
      <c r="D553" s="17" t="s">
        <v>24</v>
      </c>
      <c r="E553" s="18">
        <v>55071</v>
      </c>
      <c r="F553" s="24">
        <v>52340365.75</v>
      </c>
      <c r="G553" s="30">
        <v>3.6</v>
      </c>
      <c r="H553" s="30">
        <v>55.45</v>
      </c>
      <c r="I553" s="17">
        <v>51.49</v>
      </c>
      <c r="J553" s="17">
        <v>279.27</v>
      </c>
      <c r="K553" s="27">
        <v>73.87</v>
      </c>
      <c r="L553" s="17" t="s">
        <v>27</v>
      </c>
    </row>
    <row r="554" spans="1:12" x14ac:dyDescent="0.25">
      <c r="A554" s="12">
        <v>2022</v>
      </c>
      <c r="B554" s="12" t="s">
        <v>36</v>
      </c>
      <c r="C554" s="12" t="s">
        <v>32</v>
      </c>
      <c r="D554" s="12" t="s">
        <v>24</v>
      </c>
      <c r="E554" s="13">
        <v>55853</v>
      </c>
      <c r="F554" s="23">
        <v>6813706.7280000001</v>
      </c>
      <c r="G554" s="29">
        <v>4.88</v>
      </c>
      <c r="H554" s="29">
        <v>62.85</v>
      </c>
      <c r="I554" s="12">
        <v>33.76</v>
      </c>
      <c r="J554" s="12">
        <v>63.15</v>
      </c>
      <c r="K554" s="26">
        <v>69.849999999999994</v>
      </c>
      <c r="L554" s="12" t="s">
        <v>21</v>
      </c>
    </row>
    <row r="555" spans="1:12" x14ac:dyDescent="0.25">
      <c r="A555" s="17">
        <v>2022</v>
      </c>
      <c r="B555" s="17" t="s">
        <v>36</v>
      </c>
      <c r="C555" s="17" t="s">
        <v>33</v>
      </c>
      <c r="D555" s="17" t="s">
        <v>24</v>
      </c>
      <c r="E555" s="18">
        <v>47291</v>
      </c>
      <c r="F555" s="24">
        <v>19328484.68</v>
      </c>
      <c r="G555" s="30">
        <v>6.51</v>
      </c>
      <c r="H555" s="30">
        <v>102.8</v>
      </c>
      <c r="I555" s="17">
        <v>36.28</v>
      </c>
      <c r="J555" s="17">
        <v>222.44</v>
      </c>
      <c r="K555" s="27">
        <v>74.489999999999995</v>
      </c>
      <c r="L555" s="17" t="s">
        <v>15</v>
      </c>
    </row>
    <row r="556" spans="1:12" x14ac:dyDescent="0.25">
      <c r="A556" s="12">
        <v>2022</v>
      </c>
      <c r="B556" s="12" t="s">
        <v>36</v>
      </c>
      <c r="C556" s="12" t="s">
        <v>34</v>
      </c>
      <c r="D556" s="12" t="s">
        <v>24</v>
      </c>
      <c r="E556" s="13">
        <v>30901</v>
      </c>
      <c r="F556" s="23">
        <v>11882936.57</v>
      </c>
      <c r="G556" s="29">
        <v>3.47</v>
      </c>
      <c r="H556" s="29">
        <v>95.55</v>
      </c>
      <c r="I556" s="12">
        <v>15.87</v>
      </c>
      <c r="J556" s="12">
        <v>182.47</v>
      </c>
      <c r="K556" s="26">
        <v>50.98</v>
      </c>
      <c r="L556" s="12" t="s">
        <v>15</v>
      </c>
    </row>
    <row r="557" spans="1:12" x14ac:dyDescent="0.25">
      <c r="A557" s="17">
        <v>2022</v>
      </c>
      <c r="B557" s="17" t="s">
        <v>37</v>
      </c>
      <c r="C557" s="17" t="s">
        <v>13</v>
      </c>
      <c r="D557" s="17" t="s">
        <v>14</v>
      </c>
      <c r="E557" s="18">
        <v>8330</v>
      </c>
      <c r="F557" s="24">
        <v>4252116.8880000003</v>
      </c>
      <c r="G557" s="30">
        <v>2.0099999999999998</v>
      </c>
      <c r="H557" s="30">
        <v>89.2</v>
      </c>
      <c r="I557" s="17">
        <v>17.57</v>
      </c>
      <c r="J557" s="17">
        <v>213.49</v>
      </c>
      <c r="K557" s="27">
        <v>61.069999999999901</v>
      </c>
      <c r="L557" s="17" t="s">
        <v>21</v>
      </c>
    </row>
    <row r="558" spans="1:12" x14ac:dyDescent="0.25">
      <c r="A558" s="12">
        <v>2022</v>
      </c>
      <c r="B558" s="12" t="s">
        <v>37</v>
      </c>
      <c r="C558" s="12" t="s">
        <v>16</v>
      </c>
      <c r="D558" s="12" t="s">
        <v>14</v>
      </c>
      <c r="E558" s="13">
        <v>16902</v>
      </c>
      <c r="F558" s="23">
        <v>45919818.68</v>
      </c>
      <c r="G558" s="29">
        <v>-0.25</v>
      </c>
      <c r="H558" s="29">
        <v>68.67</v>
      </c>
      <c r="I558" s="12">
        <v>2.5299999999999998</v>
      </c>
      <c r="J558" s="12">
        <v>66.34</v>
      </c>
      <c r="K558" s="26">
        <v>47.23</v>
      </c>
      <c r="L558" s="12" t="s">
        <v>15</v>
      </c>
    </row>
    <row r="559" spans="1:12" x14ac:dyDescent="0.25">
      <c r="A559" s="17">
        <v>2022</v>
      </c>
      <c r="B559" s="17" t="s">
        <v>37</v>
      </c>
      <c r="C559" s="17" t="s">
        <v>18</v>
      </c>
      <c r="D559" s="17" t="s">
        <v>14</v>
      </c>
      <c r="E559" s="18">
        <v>10352</v>
      </c>
      <c r="F559" s="24">
        <v>10351376.890000001</v>
      </c>
      <c r="G559" s="30">
        <v>3.16</v>
      </c>
      <c r="H559" s="30">
        <v>68.23</v>
      </c>
      <c r="I559" s="17">
        <v>24.33</v>
      </c>
      <c r="J559" s="17">
        <v>137.24</v>
      </c>
      <c r="K559" s="27">
        <v>49.71</v>
      </c>
      <c r="L559" s="17" t="s">
        <v>15</v>
      </c>
    </row>
    <row r="560" spans="1:12" x14ac:dyDescent="0.25">
      <c r="A560" s="12">
        <v>2022</v>
      </c>
      <c r="B560" s="12" t="s">
        <v>37</v>
      </c>
      <c r="C560" s="12" t="s">
        <v>20</v>
      </c>
      <c r="D560" s="12" t="s">
        <v>14</v>
      </c>
      <c r="E560" s="13">
        <v>20904</v>
      </c>
      <c r="F560" s="23">
        <v>41945284.640000001</v>
      </c>
      <c r="G560" s="29">
        <v>-0.06</v>
      </c>
      <c r="H560" s="29">
        <v>53.51</v>
      </c>
      <c r="I560" s="12">
        <v>35.450000000000003</v>
      </c>
      <c r="J560" s="12">
        <v>63.87</v>
      </c>
      <c r="K560" s="26">
        <v>78.05</v>
      </c>
      <c r="L560" s="12" t="s">
        <v>15</v>
      </c>
    </row>
    <row r="561" spans="1:12" x14ac:dyDescent="0.25">
      <c r="A561" s="17">
        <v>2022</v>
      </c>
      <c r="B561" s="17" t="s">
        <v>37</v>
      </c>
      <c r="C561" s="17" t="s">
        <v>22</v>
      </c>
      <c r="D561" s="17" t="s">
        <v>14</v>
      </c>
      <c r="E561" s="18">
        <v>32799</v>
      </c>
      <c r="F561" s="24">
        <v>30084811.850000001</v>
      </c>
      <c r="G561" s="30">
        <v>0.7</v>
      </c>
      <c r="H561" s="30">
        <v>89.07</v>
      </c>
      <c r="I561" s="17">
        <v>45.08</v>
      </c>
      <c r="J561" s="17">
        <v>253.23</v>
      </c>
      <c r="K561" s="27">
        <v>61.38</v>
      </c>
      <c r="L561" s="17" t="s">
        <v>27</v>
      </c>
    </row>
    <row r="562" spans="1:12" x14ac:dyDescent="0.25">
      <c r="A562" s="12">
        <v>2022</v>
      </c>
      <c r="B562" s="12" t="s">
        <v>37</v>
      </c>
      <c r="C562" s="12" t="s">
        <v>23</v>
      </c>
      <c r="D562" s="12" t="s">
        <v>24</v>
      </c>
      <c r="E562" s="13">
        <v>17884</v>
      </c>
      <c r="F562" s="23">
        <v>11319455.1</v>
      </c>
      <c r="G562" s="29">
        <v>4.18</v>
      </c>
      <c r="H562" s="29">
        <v>99.95</v>
      </c>
      <c r="I562" s="12">
        <v>7.17</v>
      </c>
      <c r="J562" s="12">
        <v>265.77999999999997</v>
      </c>
      <c r="K562" s="26">
        <v>86.45</v>
      </c>
      <c r="L562" s="12" t="s">
        <v>21</v>
      </c>
    </row>
    <row r="563" spans="1:12" x14ac:dyDescent="0.25">
      <c r="A563" s="17">
        <v>2022</v>
      </c>
      <c r="B563" s="17" t="s">
        <v>37</v>
      </c>
      <c r="C563" s="17" t="s">
        <v>25</v>
      </c>
      <c r="D563" s="17" t="s">
        <v>24</v>
      </c>
      <c r="E563" s="18">
        <v>40963</v>
      </c>
      <c r="F563" s="24">
        <v>10902531.08</v>
      </c>
      <c r="G563" s="30">
        <v>2.86</v>
      </c>
      <c r="H563" s="30">
        <v>42.87</v>
      </c>
      <c r="I563" s="17">
        <v>21.56</v>
      </c>
      <c r="J563" s="17">
        <v>281.31</v>
      </c>
      <c r="K563" s="27">
        <v>81.510000000000005</v>
      </c>
      <c r="L563" s="17" t="s">
        <v>19</v>
      </c>
    </row>
    <row r="564" spans="1:12" x14ac:dyDescent="0.25">
      <c r="A564" s="12">
        <v>2022</v>
      </c>
      <c r="B564" s="12" t="s">
        <v>37</v>
      </c>
      <c r="C564" s="12" t="s">
        <v>26</v>
      </c>
      <c r="D564" s="12" t="s">
        <v>24</v>
      </c>
      <c r="E564" s="13">
        <v>15691</v>
      </c>
      <c r="F564" s="23">
        <v>21823040.170000002</v>
      </c>
      <c r="G564" s="29">
        <v>3.07</v>
      </c>
      <c r="H564" s="29">
        <v>42.69</v>
      </c>
      <c r="I564" s="12">
        <v>42.69</v>
      </c>
      <c r="J564" s="12">
        <v>135.63</v>
      </c>
      <c r="K564" s="26">
        <v>72.27</v>
      </c>
      <c r="L564" s="12" t="s">
        <v>21</v>
      </c>
    </row>
    <row r="565" spans="1:12" x14ac:dyDescent="0.25">
      <c r="A565" s="17">
        <v>2022</v>
      </c>
      <c r="B565" s="17" t="s">
        <v>37</v>
      </c>
      <c r="C565" s="17" t="s">
        <v>28</v>
      </c>
      <c r="D565" s="17" t="s">
        <v>24</v>
      </c>
      <c r="E565" s="18">
        <v>23653</v>
      </c>
      <c r="F565" s="24">
        <v>24085328.149999999</v>
      </c>
      <c r="G565" s="30">
        <v>5.64</v>
      </c>
      <c r="H565" s="30">
        <v>87.55</v>
      </c>
      <c r="I565" s="17">
        <v>41.3</v>
      </c>
      <c r="J565" s="17">
        <v>170.64</v>
      </c>
      <c r="K565" s="27">
        <v>46.15</v>
      </c>
      <c r="L565" s="17" t="s">
        <v>27</v>
      </c>
    </row>
    <row r="566" spans="1:12" x14ac:dyDescent="0.25">
      <c r="A566" s="12">
        <v>2022</v>
      </c>
      <c r="B566" s="12" t="s">
        <v>37</v>
      </c>
      <c r="C566" s="12" t="s">
        <v>29</v>
      </c>
      <c r="D566" s="12" t="s">
        <v>24</v>
      </c>
      <c r="E566" s="13">
        <v>56264</v>
      </c>
      <c r="F566" s="23">
        <v>11515465.800000001</v>
      </c>
      <c r="G566" s="29">
        <v>3.42</v>
      </c>
      <c r="H566" s="29">
        <v>82.21</v>
      </c>
      <c r="I566" s="12">
        <v>39.950000000000003</v>
      </c>
      <c r="J566" s="12">
        <v>68.7</v>
      </c>
      <c r="K566" s="26">
        <v>94.84</v>
      </c>
      <c r="L566" s="12" t="s">
        <v>27</v>
      </c>
    </row>
    <row r="567" spans="1:12" x14ac:dyDescent="0.25">
      <c r="A567" s="17">
        <v>2022</v>
      </c>
      <c r="B567" s="17" t="s">
        <v>37</v>
      </c>
      <c r="C567" s="17" t="s">
        <v>30</v>
      </c>
      <c r="D567" s="17" t="s">
        <v>24</v>
      </c>
      <c r="E567" s="18">
        <v>47629</v>
      </c>
      <c r="F567" s="24">
        <v>40258147.689999998</v>
      </c>
      <c r="G567" s="30">
        <v>2.59</v>
      </c>
      <c r="H567" s="30">
        <v>62.4</v>
      </c>
      <c r="I567" s="17">
        <v>46.2</v>
      </c>
      <c r="J567" s="17">
        <v>174.55</v>
      </c>
      <c r="K567" s="27">
        <v>88.86</v>
      </c>
      <c r="L567" s="17" t="s">
        <v>17</v>
      </c>
    </row>
    <row r="568" spans="1:12" x14ac:dyDescent="0.25">
      <c r="A568" s="12">
        <v>2022</v>
      </c>
      <c r="B568" s="12" t="s">
        <v>37</v>
      </c>
      <c r="C568" s="12" t="s">
        <v>31</v>
      </c>
      <c r="D568" s="12" t="s">
        <v>24</v>
      </c>
      <c r="E568" s="13">
        <v>22829</v>
      </c>
      <c r="F568" s="23">
        <v>33124655.16</v>
      </c>
      <c r="G568" s="29">
        <v>6.4</v>
      </c>
      <c r="H568" s="29">
        <v>70.69</v>
      </c>
      <c r="I568" s="12">
        <v>26.25</v>
      </c>
      <c r="J568" s="12">
        <v>125.31</v>
      </c>
      <c r="K568" s="26">
        <v>93.2</v>
      </c>
      <c r="L568" s="12" t="s">
        <v>21</v>
      </c>
    </row>
    <row r="569" spans="1:12" x14ac:dyDescent="0.25">
      <c r="A569" s="17">
        <v>2022</v>
      </c>
      <c r="B569" s="17" t="s">
        <v>37</v>
      </c>
      <c r="C569" s="17" t="s">
        <v>32</v>
      </c>
      <c r="D569" s="17" t="s">
        <v>24</v>
      </c>
      <c r="E569" s="18">
        <v>33785</v>
      </c>
      <c r="F569" s="24">
        <v>47573854.619999997</v>
      </c>
      <c r="G569" s="30">
        <v>5.64</v>
      </c>
      <c r="H569" s="30">
        <v>92.95</v>
      </c>
      <c r="I569" s="17">
        <v>33.129999999999903</v>
      </c>
      <c r="J569" s="17">
        <v>109.94</v>
      </c>
      <c r="K569" s="27">
        <v>93.28</v>
      </c>
      <c r="L569" s="17" t="s">
        <v>17</v>
      </c>
    </row>
    <row r="570" spans="1:12" x14ac:dyDescent="0.25">
      <c r="A570" s="12">
        <v>2022</v>
      </c>
      <c r="B570" s="12" t="s">
        <v>37</v>
      </c>
      <c r="C570" s="12" t="s">
        <v>33</v>
      </c>
      <c r="D570" s="12" t="s">
        <v>24</v>
      </c>
      <c r="E570" s="13">
        <v>28676</v>
      </c>
      <c r="F570" s="23">
        <v>33319538.640000001</v>
      </c>
      <c r="G570" s="29">
        <v>5.17</v>
      </c>
      <c r="H570" s="29">
        <v>80.3</v>
      </c>
      <c r="I570" s="12">
        <v>30.76</v>
      </c>
      <c r="J570" s="12">
        <v>213.39</v>
      </c>
      <c r="K570" s="26">
        <v>76.2</v>
      </c>
      <c r="L570" s="12" t="s">
        <v>15</v>
      </c>
    </row>
    <row r="571" spans="1:12" x14ac:dyDescent="0.25">
      <c r="A571" s="17">
        <v>2022</v>
      </c>
      <c r="B571" s="17" t="s">
        <v>37</v>
      </c>
      <c r="C571" s="17" t="s">
        <v>34</v>
      </c>
      <c r="D571" s="17" t="s">
        <v>24</v>
      </c>
      <c r="E571" s="18">
        <v>62215</v>
      </c>
      <c r="F571" s="24">
        <v>44729535.659999996</v>
      </c>
      <c r="G571" s="30">
        <v>3.04</v>
      </c>
      <c r="H571" s="30">
        <v>93.8</v>
      </c>
      <c r="I571" s="17">
        <v>38.79</v>
      </c>
      <c r="J571" s="17">
        <v>253.73</v>
      </c>
      <c r="K571" s="27">
        <v>45.63</v>
      </c>
      <c r="L571" s="17" t="s">
        <v>17</v>
      </c>
    </row>
    <row r="572" spans="1:12" x14ac:dyDescent="0.25">
      <c r="A572" s="12">
        <v>2022</v>
      </c>
      <c r="B572" s="12" t="s">
        <v>12</v>
      </c>
      <c r="C572" s="12" t="s">
        <v>13</v>
      </c>
      <c r="D572" s="12" t="s">
        <v>14</v>
      </c>
      <c r="E572" s="13">
        <v>23678</v>
      </c>
      <c r="F572" s="23">
        <v>23302026.23</v>
      </c>
      <c r="G572" s="29">
        <v>0.57999999999999996</v>
      </c>
      <c r="H572" s="29">
        <v>45.61</v>
      </c>
      <c r="I572" s="12">
        <v>43.79</v>
      </c>
      <c r="J572" s="12">
        <v>156.56</v>
      </c>
      <c r="K572" s="26">
        <v>72.06</v>
      </c>
      <c r="L572" s="12" t="s">
        <v>27</v>
      </c>
    </row>
    <row r="573" spans="1:12" x14ac:dyDescent="0.25">
      <c r="A573" s="17">
        <v>2022</v>
      </c>
      <c r="B573" s="17" t="s">
        <v>12</v>
      </c>
      <c r="C573" s="17" t="s">
        <v>16</v>
      </c>
      <c r="D573" s="17" t="s">
        <v>14</v>
      </c>
      <c r="E573" s="18">
        <v>24682</v>
      </c>
      <c r="F573" s="24">
        <v>30388420.881000001</v>
      </c>
      <c r="G573" s="30">
        <v>3.89</v>
      </c>
      <c r="H573" s="30">
        <v>65.349999999999994</v>
      </c>
      <c r="I573" s="17">
        <v>41.22</v>
      </c>
      <c r="J573" s="17">
        <v>202.74</v>
      </c>
      <c r="K573" s="27">
        <v>65.05</v>
      </c>
      <c r="L573" s="17" t="s">
        <v>17</v>
      </c>
    </row>
    <row r="574" spans="1:12" x14ac:dyDescent="0.25">
      <c r="A574" s="12">
        <v>2022</v>
      </c>
      <c r="B574" s="12" t="s">
        <v>12</v>
      </c>
      <c r="C574" s="12" t="s">
        <v>18</v>
      </c>
      <c r="D574" s="12" t="s">
        <v>14</v>
      </c>
      <c r="E574" s="13">
        <v>49869</v>
      </c>
      <c r="F574" s="23">
        <v>25015561.710000001</v>
      </c>
      <c r="G574" s="29">
        <v>-0.1</v>
      </c>
      <c r="H574" s="29">
        <v>66.77</v>
      </c>
      <c r="I574" s="12">
        <v>25.65</v>
      </c>
      <c r="J574" s="12">
        <v>137.77000000000001</v>
      </c>
      <c r="K574" s="26">
        <v>75.23</v>
      </c>
      <c r="L574" s="12" t="s">
        <v>21</v>
      </c>
    </row>
    <row r="575" spans="1:12" x14ac:dyDescent="0.25">
      <c r="A575" s="17">
        <v>2022</v>
      </c>
      <c r="B575" s="17" t="s">
        <v>12</v>
      </c>
      <c r="C575" s="17" t="s">
        <v>20</v>
      </c>
      <c r="D575" s="17" t="s">
        <v>14</v>
      </c>
      <c r="E575" s="18">
        <v>5718</v>
      </c>
      <c r="F575" s="24">
        <v>47611430.590000004</v>
      </c>
      <c r="G575" s="30">
        <v>3.4</v>
      </c>
      <c r="H575" s="30">
        <v>60.4</v>
      </c>
      <c r="I575" s="17">
        <v>15.37</v>
      </c>
      <c r="J575" s="17">
        <v>128.61000000000001</v>
      </c>
      <c r="K575" s="27">
        <v>41.67</v>
      </c>
      <c r="L575" s="17" t="s">
        <v>21</v>
      </c>
    </row>
    <row r="576" spans="1:12" x14ac:dyDescent="0.25">
      <c r="A576" s="12">
        <v>2022</v>
      </c>
      <c r="B576" s="12" t="s">
        <v>12</v>
      </c>
      <c r="C576" s="12" t="s">
        <v>22</v>
      </c>
      <c r="D576" s="12" t="s">
        <v>14</v>
      </c>
      <c r="E576" s="13">
        <v>35233</v>
      </c>
      <c r="F576" s="23">
        <v>10414206.279999999</v>
      </c>
      <c r="G576" s="29">
        <v>2.0099999999999998</v>
      </c>
      <c r="H576" s="29">
        <v>84.7</v>
      </c>
      <c r="I576" s="12">
        <v>12.7</v>
      </c>
      <c r="J576" s="12">
        <v>92.35</v>
      </c>
      <c r="K576" s="26">
        <v>51.97</v>
      </c>
      <c r="L576" s="12" t="s">
        <v>21</v>
      </c>
    </row>
    <row r="577" spans="1:12" x14ac:dyDescent="0.25">
      <c r="A577" s="17">
        <v>2022</v>
      </c>
      <c r="B577" s="17" t="s">
        <v>12</v>
      </c>
      <c r="C577" s="17" t="s">
        <v>23</v>
      </c>
      <c r="D577" s="17" t="s">
        <v>24</v>
      </c>
      <c r="E577" s="18">
        <v>41857</v>
      </c>
      <c r="F577" s="24">
        <v>71129083.790000007</v>
      </c>
      <c r="G577" s="30">
        <v>4.8599999999999897</v>
      </c>
      <c r="H577" s="30">
        <v>73.91</v>
      </c>
      <c r="I577" s="17">
        <v>45.53</v>
      </c>
      <c r="J577" s="17">
        <v>173.38</v>
      </c>
      <c r="K577" s="27">
        <v>53.59</v>
      </c>
      <c r="L577" s="17" t="s">
        <v>27</v>
      </c>
    </row>
    <row r="578" spans="1:12" x14ac:dyDescent="0.25">
      <c r="A578" s="12">
        <v>2022</v>
      </c>
      <c r="B578" s="12" t="s">
        <v>12</v>
      </c>
      <c r="C578" s="12" t="s">
        <v>25</v>
      </c>
      <c r="D578" s="12" t="s">
        <v>24</v>
      </c>
      <c r="E578" s="13">
        <v>33814</v>
      </c>
      <c r="F578" s="23">
        <v>62983632.700000003</v>
      </c>
      <c r="G578" s="29">
        <v>4.5599999999999996</v>
      </c>
      <c r="H578" s="29">
        <v>57.41</v>
      </c>
      <c r="I578" s="12">
        <v>21.53</v>
      </c>
      <c r="J578" s="12">
        <v>170.67</v>
      </c>
      <c r="K578" s="26">
        <v>72.61</v>
      </c>
      <c r="L578" s="12" t="s">
        <v>27</v>
      </c>
    </row>
    <row r="579" spans="1:12" x14ac:dyDescent="0.25">
      <c r="A579" s="17">
        <v>2022</v>
      </c>
      <c r="B579" s="17" t="s">
        <v>12</v>
      </c>
      <c r="C579" s="17" t="s">
        <v>26</v>
      </c>
      <c r="D579" s="17" t="s">
        <v>24</v>
      </c>
      <c r="E579" s="18">
        <v>35418</v>
      </c>
      <c r="F579" s="24">
        <v>14482116.279999999</v>
      </c>
      <c r="G579" s="30">
        <v>4.01</v>
      </c>
      <c r="H579" s="30">
        <v>91.45</v>
      </c>
      <c r="I579" s="17">
        <v>6.56</v>
      </c>
      <c r="J579" s="17">
        <v>157.75</v>
      </c>
      <c r="K579" s="27">
        <v>57.04</v>
      </c>
      <c r="L579" s="17" t="s">
        <v>27</v>
      </c>
    </row>
    <row r="580" spans="1:12" x14ac:dyDescent="0.25">
      <c r="A580" s="12">
        <v>2022</v>
      </c>
      <c r="B580" s="12" t="s">
        <v>12</v>
      </c>
      <c r="C580" s="12" t="s">
        <v>28</v>
      </c>
      <c r="D580" s="12" t="s">
        <v>24</v>
      </c>
      <c r="E580" s="13">
        <v>39933</v>
      </c>
      <c r="F580" s="23">
        <v>18632947.100000001</v>
      </c>
      <c r="G580" s="29">
        <v>2.56</v>
      </c>
      <c r="H580" s="29">
        <v>91.48</v>
      </c>
      <c r="I580" s="12">
        <v>41.08</v>
      </c>
      <c r="J580" s="12">
        <v>272.72000000000003</v>
      </c>
      <c r="K580" s="26">
        <v>57.82</v>
      </c>
      <c r="L580" s="12" t="s">
        <v>27</v>
      </c>
    </row>
    <row r="581" spans="1:12" x14ac:dyDescent="0.25">
      <c r="A581" s="17">
        <v>2022</v>
      </c>
      <c r="B581" s="17" t="s">
        <v>12</v>
      </c>
      <c r="C581" s="17" t="s">
        <v>29</v>
      </c>
      <c r="D581" s="17" t="s">
        <v>24</v>
      </c>
      <c r="E581" s="18">
        <v>6800</v>
      </c>
      <c r="F581" s="24">
        <v>6213699.6119999997</v>
      </c>
      <c r="G581" s="30">
        <v>6.1</v>
      </c>
      <c r="H581" s="30">
        <v>52.04</v>
      </c>
      <c r="I581" s="17">
        <v>54.21</v>
      </c>
      <c r="J581" s="17">
        <v>81.93</v>
      </c>
      <c r="K581" s="27">
        <v>52.88</v>
      </c>
      <c r="L581" s="17" t="s">
        <v>19</v>
      </c>
    </row>
    <row r="582" spans="1:12" x14ac:dyDescent="0.25">
      <c r="A582" s="12">
        <v>2022</v>
      </c>
      <c r="B582" s="12" t="s">
        <v>12</v>
      </c>
      <c r="C582" s="12" t="s">
        <v>30</v>
      </c>
      <c r="D582" s="12" t="s">
        <v>24</v>
      </c>
      <c r="E582" s="13">
        <v>6787</v>
      </c>
      <c r="F582" s="23">
        <v>52571041.670000002</v>
      </c>
      <c r="G582" s="29">
        <v>4.93</v>
      </c>
      <c r="H582" s="29">
        <v>103.73</v>
      </c>
      <c r="I582" s="12">
        <v>29.49</v>
      </c>
      <c r="J582" s="12">
        <v>274.81</v>
      </c>
      <c r="K582" s="26">
        <v>47.7</v>
      </c>
      <c r="L582" s="12" t="s">
        <v>17</v>
      </c>
    </row>
    <row r="583" spans="1:12" x14ac:dyDescent="0.25">
      <c r="A583" s="17">
        <v>2022</v>
      </c>
      <c r="B583" s="17" t="s">
        <v>12</v>
      </c>
      <c r="C583" s="17" t="s">
        <v>31</v>
      </c>
      <c r="D583" s="17" t="s">
        <v>24</v>
      </c>
      <c r="E583" s="18">
        <v>34677</v>
      </c>
      <c r="F583" s="24">
        <v>15661456.58</v>
      </c>
      <c r="G583" s="30">
        <v>6.11</v>
      </c>
      <c r="H583" s="30">
        <v>101.07</v>
      </c>
      <c r="I583" s="17">
        <v>48.06</v>
      </c>
      <c r="J583" s="17">
        <v>165.76</v>
      </c>
      <c r="K583" s="27">
        <v>55.31</v>
      </c>
      <c r="L583" s="17" t="s">
        <v>17</v>
      </c>
    </row>
    <row r="584" spans="1:12" x14ac:dyDescent="0.25">
      <c r="A584" s="12">
        <v>2022</v>
      </c>
      <c r="B584" s="12" t="s">
        <v>12</v>
      </c>
      <c r="C584" s="12" t="s">
        <v>32</v>
      </c>
      <c r="D584" s="12" t="s">
        <v>24</v>
      </c>
      <c r="E584" s="13">
        <v>27735</v>
      </c>
      <c r="F584" s="23">
        <v>60038350.75</v>
      </c>
      <c r="G584" s="29">
        <v>6.4</v>
      </c>
      <c r="H584" s="29">
        <v>42.86</v>
      </c>
      <c r="I584" s="12">
        <v>50.44</v>
      </c>
      <c r="J584" s="12">
        <v>118.36</v>
      </c>
      <c r="K584" s="26">
        <v>80.72</v>
      </c>
      <c r="L584" s="12" t="s">
        <v>21</v>
      </c>
    </row>
    <row r="585" spans="1:12" x14ac:dyDescent="0.25">
      <c r="A585" s="17">
        <v>2022</v>
      </c>
      <c r="B585" s="17" t="s">
        <v>12</v>
      </c>
      <c r="C585" s="17" t="s">
        <v>33</v>
      </c>
      <c r="D585" s="17" t="s">
        <v>24</v>
      </c>
      <c r="E585" s="18">
        <v>51810</v>
      </c>
      <c r="F585" s="24">
        <v>14517045.839999899</v>
      </c>
      <c r="G585" s="30">
        <v>5.73</v>
      </c>
      <c r="H585" s="30">
        <v>51.7</v>
      </c>
      <c r="I585" s="17">
        <v>7.3599999999999897</v>
      </c>
      <c r="J585" s="17">
        <v>174.15</v>
      </c>
      <c r="K585" s="27">
        <v>73.56</v>
      </c>
      <c r="L585" s="17" t="s">
        <v>15</v>
      </c>
    </row>
    <row r="586" spans="1:12" x14ac:dyDescent="0.25">
      <c r="A586" s="12">
        <v>2022</v>
      </c>
      <c r="B586" s="12" t="s">
        <v>12</v>
      </c>
      <c r="C586" s="12" t="s">
        <v>34</v>
      </c>
      <c r="D586" s="12" t="s">
        <v>24</v>
      </c>
      <c r="E586" s="13">
        <v>46166</v>
      </c>
      <c r="F586" s="23">
        <v>19455487.420000002</v>
      </c>
      <c r="G586" s="29">
        <v>4.54</v>
      </c>
      <c r="H586" s="29">
        <v>59.94</v>
      </c>
      <c r="I586" s="12">
        <v>13.25</v>
      </c>
      <c r="J586" s="12">
        <v>195.16</v>
      </c>
      <c r="K586" s="26">
        <v>74.459999999999994</v>
      </c>
      <c r="L586" s="12" t="s">
        <v>17</v>
      </c>
    </row>
    <row r="587" spans="1:12" x14ac:dyDescent="0.25">
      <c r="A587" s="17">
        <v>2022</v>
      </c>
      <c r="B587" s="17" t="s">
        <v>35</v>
      </c>
      <c r="C587" s="17" t="s">
        <v>13</v>
      </c>
      <c r="D587" s="17" t="s">
        <v>14</v>
      </c>
      <c r="E587" s="18">
        <v>47075</v>
      </c>
      <c r="F587" s="24">
        <v>9011313.3599999994</v>
      </c>
      <c r="G587" s="30">
        <v>3.15</v>
      </c>
      <c r="H587" s="30">
        <v>87.8</v>
      </c>
      <c r="I587" s="17">
        <v>23.96</v>
      </c>
      <c r="J587" s="17">
        <v>79.959999999999994</v>
      </c>
      <c r="K587" s="27">
        <v>66.239999999999995</v>
      </c>
      <c r="L587" s="17" t="s">
        <v>17</v>
      </c>
    </row>
    <row r="588" spans="1:12" x14ac:dyDescent="0.25">
      <c r="A588" s="12">
        <v>2022</v>
      </c>
      <c r="B588" s="12" t="s">
        <v>35</v>
      </c>
      <c r="C588" s="12" t="s">
        <v>16</v>
      </c>
      <c r="D588" s="12" t="s">
        <v>14</v>
      </c>
      <c r="E588" s="13">
        <v>5465</v>
      </c>
      <c r="F588" s="23">
        <v>14185149.880000001</v>
      </c>
      <c r="G588" s="29">
        <v>1.97</v>
      </c>
      <c r="H588" s="29">
        <v>73.540000000000006</v>
      </c>
      <c r="I588" s="12">
        <v>45.99</v>
      </c>
      <c r="J588" s="12">
        <v>292.18</v>
      </c>
      <c r="K588" s="26">
        <v>37.14</v>
      </c>
      <c r="L588" s="12" t="s">
        <v>21</v>
      </c>
    </row>
    <row r="589" spans="1:12" x14ac:dyDescent="0.25">
      <c r="A589" s="17">
        <v>2022</v>
      </c>
      <c r="B589" s="17" t="s">
        <v>35</v>
      </c>
      <c r="C589" s="17" t="s">
        <v>18</v>
      </c>
      <c r="D589" s="17" t="s">
        <v>14</v>
      </c>
      <c r="E589" s="18">
        <v>22036</v>
      </c>
      <c r="F589" s="24">
        <v>14156370.640000001</v>
      </c>
      <c r="G589" s="30">
        <v>2.12</v>
      </c>
      <c r="H589" s="30">
        <v>60.31</v>
      </c>
      <c r="I589" s="17">
        <v>-0.89</v>
      </c>
      <c r="J589" s="17">
        <v>298.7</v>
      </c>
      <c r="K589" s="27">
        <v>43.46</v>
      </c>
      <c r="L589" s="17" t="s">
        <v>15</v>
      </c>
    </row>
    <row r="590" spans="1:12" x14ac:dyDescent="0.25">
      <c r="A590" s="12">
        <v>2022</v>
      </c>
      <c r="B590" s="12" t="s">
        <v>35</v>
      </c>
      <c r="C590" s="12" t="s">
        <v>20</v>
      </c>
      <c r="D590" s="12" t="s">
        <v>14</v>
      </c>
      <c r="E590" s="13">
        <v>31388</v>
      </c>
      <c r="F590" s="23">
        <v>15148576.49</v>
      </c>
      <c r="G590" s="29">
        <v>3.44</v>
      </c>
      <c r="H590" s="29">
        <v>67</v>
      </c>
      <c r="I590" s="12">
        <v>45.8</v>
      </c>
      <c r="J590" s="12">
        <v>92.32</v>
      </c>
      <c r="K590" s="26">
        <v>39.57</v>
      </c>
      <c r="L590" s="12" t="s">
        <v>27</v>
      </c>
    </row>
    <row r="591" spans="1:12" x14ac:dyDescent="0.25">
      <c r="A591" s="17">
        <v>2022</v>
      </c>
      <c r="B591" s="17" t="s">
        <v>35</v>
      </c>
      <c r="C591" s="17" t="s">
        <v>22</v>
      </c>
      <c r="D591" s="17" t="s">
        <v>14</v>
      </c>
      <c r="E591" s="18">
        <v>33806</v>
      </c>
      <c r="F591" s="24">
        <v>23699378.708999999</v>
      </c>
      <c r="G591" s="30">
        <v>-0.23</v>
      </c>
      <c r="H591" s="30">
        <v>77.31</v>
      </c>
      <c r="I591" s="17">
        <v>47.51</v>
      </c>
      <c r="J591" s="17">
        <v>129.69999999999999</v>
      </c>
      <c r="K591" s="27">
        <v>78.41</v>
      </c>
      <c r="L591" s="17" t="s">
        <v>21</v>
      </c>
    </row>
    <row r="592" spans="1:12" x14ac:dyDescent="0.25">
      <c r="A592" s="12">
        <v>2022</v>
      </c>
      <c r="B592" s="12" t="s">
        <v>35</v>
      </c>
      <c r="C592" s="12" t="s">
        <v>23</v>
      </c>
      <c r="D592" s="12" t="s">
        <v>24</v>
      </c>
      <c r="E592" s="13">
        <v>46798</v>
      </c>
      <c r="F592" s="23">
        <v>34010964.590000004</v>
      </c>
      <c r="G592" s="29">
        <v>2.84</v>
      </c>
      <c r="H592" s="29">
        <v>95.15</v>
      </c>
      <c r="I592" s="12">
        <v>47.23</v>
      </c>
      <c r="J592" s="12">
        <v>287.88</v>
      </c>
      <c r="K592" s="26">
        <v>87.65</v>
      </c>
      <c r="L592" s="12" t="s">
        <v>19</v>
      </c>
    </row>
    <row r="593" spans="1:12" x14ac:dyDescent="0.25">
      <c r="A593" s="17">
        <v>2022</v>
      </c>
      <c r="B593" s="17" t="s">
        <v>35</v>
      </c>
      <c r="C593" s="17" t="s">
        <v>25</v>
      </c>
      <c r="D593" s="17" t="s">
        <v>24</v>
      </c>
      <c r="E593" s="18">
        <v>15007</v>
      </c>
      <c r="F593" s="24">
        <v>56176071.659999996</v>
      </c>
      <c r="G593" s="30">
        <v>6.81</v>
      </c>
      <c r="H593" s="30">
        <v>83.96</v>
      </c>
      <c r="I593" s="17">
        <v>44.71</v>
      </c>
      <c r="J593" s="17">
        <v>258.98</v>
      </c>
      <c r="K593" s="27">
        <v>59.6</v>
      </c>
      <c r="L593" s="17" t="s">
        <v>17</v>
      </c>
    </row>
    <row r="594" spans="1:12" x14ac:dyDescent="0.25">
      <c r="A594" s="12">
        <v>2022</v>
      </c>
      <c r="B594" s="12" t="s">
        <v>35</v>
      </c>
      <c r="C594" s="12" t="s">
        <v>26</v>
      </c>
      <c r="D594" s="12" t="s">
        <v>24</v>
      </c>
      <c r="E594" s="13">
        <v>10585</v>
      </c>
      <c r="F594" s="23">
        <v>29685804.23</v>
      </c>
      <c r="G594" s="29">
        <v>3.51</v>
      </c>
      <c r="H594" s="29">
        <v>93.42</v>
      </c>
      <c r="I594" s="12">
        <v>38.630000000000003</v>
      </c>
      <c r="J594" s="12">
        <v>171.64</v>
      </c>
      <c r="K594" s="26">
        <v>87.93</v>
      </c>
      <c r="L594" s="12" t="s">
        <v>27</v>
      </c>
    </row>
    <row r="595" spans="1:12" x14ac:dyDescent="0.25">
      <c r="A595" s="17">
        <v>2022</v>
      </c>
      <c r="B595" s="17" t="s">
        <v>35</v>
      </c>
      <c r="C595" s="17" t="s">
        <v>28</v>
      </c>
      <c r="D595" s="17" t="s">
        <v>24</v>
      </c>
      <c r="E595" s="18">
        <v>10415</v>
      </c>
      <c r="F595" s="24">
        <v>16056993.77</v>
      </c>
      <c r="G595" s="30">
        <v>2.85</v>
      </c>
      <c r="H595" s="30">
        <v>87.84</v>
      </c>
      <c r="I595" s="17">
        <v>42.48</v>
      </c>
      <c r="J595" s="17">
        <v>160.24</v>
      </c>
      <c r="K595" s="27">
        <v>51.79</v>
      </c>
      <c r="L595" s="17" t="s">
        <v>15</v>
      </c>
    </row>
    <row r="596" spans="1:12" x14ac:dyDescent="0.25">
      <c r="A596" s="12">
        <v>2022</v>
      </c>
      <c r="B596" s="12" t="s">
        <v>35</v>
      </c>
      <c r="C596" s="12" t="s">
        <v>29</v>
      </c>
      <c r="D596" s="12" t="s">
        <v>24</v>
      </c>
      <c r="E596" s="13">
        <v>54159</v>
      </c>
      <c r="F596" s="23">
        <v>43416974.450000003</v>
      </c>
      <c r="G596" s="29">
        <v>5.91</v>
      </c>
      <c r="H596" s="29">
        <v>101.8</v>
      </c>
      <c r="I596" s="12">
        <v>45.27</v>
      </c>
      <c r="J596" s="12">
        <v>232.71</v>
      </c>
      <c r="K596" s="26">
        <v>51.01</v>
      </c>
      <c r="L596" s="12" t="s">
        <v>17</v>
      </c>
    </row>
    <row r="597" spans="1:12" x14ac:dyDescent="0.25">
      <c r="A597" s="17">
        <v>2022</v>
      </c>
      <c r="B597" s="17" t="s">
        <v>35</v>
      </c>
      <c r="C597" s="17" t="s">
        <v>30</v>
      </c>
      <c r="D597" s="17" t="s">
        <v>24</v>
      </c>
      <c r="E597" s="18">
        <v>17217</v>
      </c>
      <c r="F597" s="24">
        <v>31929959.75</v>
      </c>
      <c r="G597" s="30">
        <v>3.68</v>
      </c>
      <c r="H597" s="30">
        <v>41.36</v>
      </c>
      <c r="I597" s="17">
        <v>32</v>
      </c>
      <c r="J597" s="17">
        <v>291.72000000000003</v>
      </c>
      <c r="K597" s="27">
        <v>45.78</v>
      </c>
      <c r="L597" s="17" t="s">
        <v>19</v>
      </c>
    </row>
    <row r="598" spans="1:12" x14ac:dyDescent="0.25">
      <c r="A598" s="12">
        <v>2022</v>
      </c>
      <c r="B598" s="12" t="s">
        <v>35</v>
      </c>
      <c r="C598" s="12" t="s">
        <v>31</v>
      </c>
      <c r="D598" s="12" t="s">
        <v>24</v>
      </c>
      <c r="E598" s="13">
        <v>53719</v>
      </c>
      <c r="F598" s="23">
        <v>15328592.42</v>
      </c>
      <c r="G598" s="29">
        <v>3.88</v>
      </c>
      <c r="H598" s="29">
        <v>79.25</v>
      </c>
      <c r="I598" s="12">
        <v>36.07</v>
      </c>
      <c r="J598" s="12">
        <v>286.49</v>
      </c>
      <c r="K598" s="26">
        <v>48.06</v>
      </c>
      <c r="L598" s="12" t="s">
        <v>21</v>
      </c>
    </row>
    <row r="599" spans="1:12" x14ac:dyDescent="0.25">
      <c r="A599" s="17">
        <v>2022</v>
      </c>
      <c r="B599" s="17" t="s">
        <v>35</v>
      </c>
      <c r="C599" s="17" t="s">
        <v>32</v>
      </c>
      <c r="D599" s="17" t="s">
        <v>24</v>
      </c>
      <c r="E599" s="18">
        <v>58156</v>
      </c>
      <c r="F599" s="24">
        <v>45419753.700000003</v>
      </c>
      <c r="G599" s="30">
        <v>4.2799999999999896</v>
      </c>
      <c r="H599" s="30">
        <v>88.11</v>
      </c>
      <c r="I599" s="17">
        <v>44.95</v>
      </c>
      <c r="J599" s="17">
        <v>232.59</v>
      </c>
      <c r="K599" s="27">
        <v>86.74</v>
      </c>
      <c r="L599" s="17" t="s">
        <v>19</v>
      </c>
    </row>
    <row r="600" spans="1:12" x14ac:dyDescent="0.25">
      <c r="A600" s="12">
        <v>2022</v>
      </c>
      <c r="B600" s="12" t="s">
        <v>35</v>
      </c>
      <c r="C600" s="12" t="s">
        <v>33</v>
      </c>
      <c r="D600" s="12" t="s">
        <v>24</v>
      </c>
      <c r="E600" s="13">
        <v>33117</v>
      </c>
      <c r="F600" s="23">
        <v>5432435.60399999</v>
      </c>
      <c r="G600" s="29">
        <v>6.58</v>
      </c>
      <c r="H600" s="29">
        <v>83.47</v>
      </c>
      <c r="I600" s="12">
        <v>38.520000000000003</v>
      </c>
      <c r="J600" s="12">
        <v>282.72000000000003</v>
      </c>
      <c r="K600" s="26">
        <v>86.09</v>
      </c>
      <c r="L600" s="12" t="s">
        <v>15</v>
      </c>
    </row>
    <row r="601" spans="1:12" x14ac:dyDescent="0.25">
      <c r="A601" s="17">
        <v>2022</v>
      </c>
      <c r="B601" s="17" t="s">
        <v>35</v>
      </c>
      <c r="C601" s="17" t="s">
        <v>34</v>
      </c>
      <c r="D601" s="17" t="s">
        <v>24</v>
      </c>
      <c r="E601" s="18">
        <v>24948</v>
      </c>
      <c r="F601" s="24">
        <v>7564107.5760000004</v>
      </c>
      <c r="G601" s="30">
        <v>3.51</v>
      </c>
      <c r="H601" s="30">
        <v>89.68</v>
      </c>
      <c r="I601" s="17">
        <v>53.4</v>
      </c>
      <c r="J601" s="17">
        <v>284.12</v>
      </c>
      <c r="K601" s="27">
        <v>72.56</v>
      </c>
      <c r="L601" s="17" t="s">
        <v>17</v>
      </c>
    </row>
    <row r="602" spans="1:12" x14ac:dyDescent="0.25">
      <c r="A602" s="12">
        <v>2022</v>
      </c>
      <c r="B602" s="12" t="s">
        <v>36</v>
      </c>
      <c r="C602" s="12" t="s">
        <v>13</v>
      </c>
      <c r="D602" s="12" t="s">
        <v>14</v>
      </c>
      <c r="E602" s="13">
        <v>10671</v>
      </c>
      <c r="F602" s="23">
        <v>9842035.3650000002</v>
      </c>
      <c r="G602" s="29">
        <v>0.25</v>
      </c>
      <c r="H602" s="29">
        <v>50.83</v>
      </c>
      <c r="I602" s="12">
        <v>26.94</v>
      </c>
      <c r="J602" s="12">
        <v>249.36</v>
      </c>
      <c r="K602" s="26">
        <v>77.13</v>
      </c>
      <c r="L602" s="12" t="s">
        <v>15</v>
      </c>
    </row>
    <row r="603" spans="1:12" x14ac:dyDescent="0.25">
      <c r="A603" s="17">
        <v>2022</v>
      </c>
      <c r="B603" s="17" t="s">
        <v>36</v>
      </c>
      <c r="C603" s="17" t="s">
        <v>16</v>
      </c>
      <c r="D603" s="17" t="s">
        <v>14</v>
      </c>
      <c r="E603" s="18">
        <v>27006</v>
      </c>
      <c r="F603" s="24">
        <v>5136019.5420000004</v>
      </c>
      <c r="G603" s="30">
        <v>0.36</v>
      </c>
      <c r="H603" s="30">
        <v>70.180000000000007</v>
      </c>
      <c r="I603" s="17">
        <v>-0.05</v>
      </c>
      <c r="J603" s="17">
        <v>179.88</v>
      </c>
      <c r="K603" s="27">
        <v>63.62</v>
      </c>
      <c r="L603" s="17" t="s">
        <v>19</v>
      </c>
    </row>
    <row r="604" spans="1:12" x14ac:dyDescent="0.25">
      <c r="A604" s="12">
        <v>2022</v>
      </c>
      <c r="B604" s="12" t="s">
        <v>36</v>
      </c>
      <c r="C604" s="12" t="s">
        <v>18</v>
      </c>
      <c r="D604" s="12" t="s">
        <v>14</v>
      </c>
      <c r="E604" s="13">
        <v>35658</v>
      </c>
      <c r="F604" s="23">
        <v>14607494.42</v>
      </c>
      <c r="G604" s="29">
        <v>1.18</v>
      </c>
      <c r="H604" s="29">
        <v>33.54</v>
      </c>
      <c r="I604" s="12">
        <v>9.9600000000000009</v>
      </c>
      <c r="J604" s="12">
        <v>232.38</v>
      </c>
      <c r="K604" s="26">
        <v>66.959999999999994</v>
      </c>
      <c r="L604" s="12" t="s">
        <v>15</v>
      </c>
    </row>
    <row r="605" spans="1:12" x14ac:dyDescent="0.25">
      <c r="A605" s="17">
        <v>2022</v>
      </c>
      <c r="B605" s="17" t="s">
        <v>36</v>
      </c>
      <c r="C605" s="17" t="s">
        <v>20</v>
      </c>
      <c r="D605" s="17" t="s">
        <v>14</v>
      </c>
      <c r="E605" s="18">
        <v>8330</v>
      </c>
      <c r="F605" s="24">
        <v>26191927.649999999</v>
      </c>
      <c r="G605" s="30">
        <v>4</v>
      </c>
      <c r="H605" s="30">
        <v>73.87</v>
      </c>
      <c r="I605" s="17">
        <v>24.35</v>
      </c>
      <c r="J605" s="17">
        <v>169.49</v>
      </c>
      <c r="K605" s="27">
        <v>53.29</v>
      </c>
      <c r="L605" s="17" t="s">
        <v>21</v>
      </c>
    </row>
    <row r="606" spans="1:12" x14ac:dyDescent="0.25">
      <c r="A606" s="12">
        <v>2022</v>
      </c>
      <c r="B606" s="12" t="s">
        <v>36</v>
      </c>
      <c r="C606" s="12" t="s">
        <v>22</v>
      </c>
      <c r="D606" s="12" t="s">
        <v>14</v>
      </c>
      <c r="E606" s="13">
        <v>32243</v>
      </c>
      <c r="F606" s="23">
        <v>28519800.440000001</v>
      </c>
      <c r="G606" s="29">
        <v>0.12999999999999901</v>
      </c>
      <c r="H606" s="29">
        <v>27.27</v>
      </c>
      <c r="I606" s="12">
        <v>22.56</v>
      </c>
      <c r="J606" s="12">
        <v>82.24</v>
      </c>
      <c r="K606" s="26">
        <v>53.9</v>
      </c>
      <c r="L606" s="12" t="s">
        <v>21</v>
      </c>
    </row>
    <row r="607" spans="1:12" x14ac:dyDescent="0.25">
      <c r="A607" s="17">
        <v>2022</v>
      </c>
      <c r="B607" s="17" t="s">
        <v>36</v>
      </c>
      <c r="C607" s="17" t="s">
        <v>23</v>
      </c>
      <c r="D607" s="17" t="s">
        <v>24</v>
      </c>
      <c r="E607" s="18">
        <v>49871</v>
      </c>
      <c r="F607" s="24">
        <v>8902985.2439999897</v>
      </c>
      <c r="G607" s="30">
        <v>6.82</v>
      </c>
      <c r="H607" s="30">
        <v>48.95</v>
      </c>
      <c r="I607" s="17">
        <v>18.68</v>
      </c>
      <c r="J607" s="17">
        <v>240.7</v>
      </c>
      <c r="K607" s="27">
        <v>53.91</v>
      </c>
      <c r="L607" s="17" t="s">
        <v>21</v>
      </c>
    </row>
    <row r="608" spans="1:12" x14ac:dyDescent="0.25">
      <c r="A608" s="12">
        <v>2022</v>
      </c>
      <c r="B608" s="12" t="s">
        <v>36</v>
      </c>
      <c r="C608" s="12" t="s">
        <v>25</v>
      </c>
      <c r="D608" s="12" t="s">
        <v>24</v>
      </c>
      <c r="E608" s="13">
        <v>39287</v>
      </c>
      <c r="F608" s="23">
        <v>21438284.870000001</v>
      </c>
      <c r="G608" s="29">
        <v>4.97</v>
      </c>
      <c r="H608" s="29">
        <v>70.25</v>
      </c>
      <c r="I608" s="12">
        <v>52.39</v>
      </c>
      <c r="J608" s="12">
        <v>215.78</v>
      </c>
      <c r="K608" s="26">
        <v>74.819999999999993</v>
      </c>
      <c r="L608" s="12" t="s">
        <v>21</v>
      </c>
    </row>
    <row r="609" spans="1:12" x14ac:dyDescent="0.25">
      <c r="A609" s="17">
        <v>2022</v>
      </c>
      <c r="B609" s="17" t="s">
        <v>36</v>
      </c>
      <c r="C609" s="17" t="s">
        <v>26</v>
      </c>
      <c r="D609" s="17" t="s">
        <v>24</v>
      </c>
      <c r="E609" s="18">
        <v>43668</v>
      </c>
      <c r="F609" s="24">
        <v>32615703.949999999</v>
      </c>
      <c r="G609" s="30">
        <v>3.64</v>
      </c>
      <c r="H609" s="30">
        <v>41.86</v>
      </c>
      <c r="I609" s="17">
        <v>25.87</v>
      </c>
      <c r="J609" s="17">
        <v>164.53</v>
      </c>
      <c r="K609" s="27">
        <v>62.1</v>
      </c>
      <c r="L609" s="17" t="s">
        <v>19</v>
      </c>
    </row>
    <row r="610" spans="1:12" x14ac:dyDescent="0.25">
      <c r="A610" s="12">
        <v>2022</v>
      </c>
      <c r="B610" s="12" t="s">
        <v>36</v>
      </c>
      <c r="C610" s="12" t="s">
        <v>28</v>
      </c>
      <c r="D610" s="12" t="s">
        <v>24</v>
      </c>
      <c r="E610" s="13">
        <v>64883</v>
      </c>
      <c r="F610" s="23">
        <v>70601769.767999902</v>
      </c>
      <c r="G610" s="29">
        <v>4.5999999999999996</v>
      </c>
      <c r="H610" s="29">
        <v>61.16</v>
      </c>
      <c r="I610" s="12">
        <v>31.32</v>
      </c>
      <c r="J610" s="12">
        <v>154.51</v>
      </c>
      <c r="K610" s="26">
        <v>92.8</v>
      </c>
      <c r="L610" s="12" t="s">
        <v>17</v>
      </c>
    </row>
    <row r="611" spans="1:12" x14ac:dyDescent="0.25">
      <c r="A611" s="17">
        <v>2022</v>
      </c>
      <c r="B611" s="17" t="s">
        <v>36</v>
      </c>
      <c r="C611" s="17" t="s">
        <v>29</v>
      </c>
      <c r="D611" s="17" t="s">
        <v>24</v>
      </c>
      <c r="E611" s="18">
        <v>29698</v>
      </c>
      <c r="F611" s="24">
        <v>9547956.3839999996</v>
      </c>
      <c r="G611" s="30">
        <v>3.14</v>
      </c>
      <c r="H611" s="30">
        <v>93.12</v>
      </c>
      <c r="I611" s="17">
        <v>34.76</v>
      </c>
      <c r="J611" s="17">
        <v>246.75</v>
      </c>
      <c r="K611" s="27">
        <v>65.459999999999994</v>
      </c>
      <c r="L611" s="17" t="s">
        <v>19</v>
      </c>
    </row>
    <row r="612" spans="1:12" x14ac:dyDescent="0.25">
      <c r="A612" s="12">
        <v>2022</v>
      </c>
      <c r="B612" s="12" t="s">
        <v>36</v>
      </c>
      <c r="C612" s="12" t="s">
        <v>30</v>
      </c>
      <c r="D612" s="12" t="s">
        <v>24</v>
      </c>
      <c r="E612" s="13">
        <v>16005</v>
      </c>
      <c r="F612" s="23">
        <v>41833223.630000003</v>
      </c>
      <c r="G612" s="29">
        <v>6.71</v>
      </c>
      <c r="H612" s="29">
        <v>88.73</v>
      </c>
      <c r="I612" s="12">
        <v>39.93</v>
      </c>
      <c r="J612" s="12">
        <v>281.7</v>
      </c>
      <c r="K612" s="26">
        <v>86.82</v>
      </c>
      <c r="L612" s="12" t="s">
        <v>19</v>
      </c>
    </row>
    <row r="613" spans="1:12" x14ac:dyDescent="0.25">
      <c r="A613" s="17">
        <v>2022</v>
      </c>
      <c r="B613" s="17" t="s">
        <v>36</v>
      </c>
      <c r="C613" s="17" t="s">
        <v>31</v>
      </c>
      <c r="D613" s="17" t="s">
        <v>24</v>
      </c>
      <c r="E613" s="18">
        <v>55071</v>
      </c>
      <c r="F613" s="24">
        <v>52340365.75</v>
      </c>
      <c r="G613" s="30">
        <v>3.6</v>
      </c>
      <c r="H613" s="30">
        <v>55.45</v>
      </c>
      <c r="I613" s="17">
        <v>51.49</v>
      </c>
      <c r="J613" s="17">
        <v>279.27</v>
      </c>
      <c r="K613" s="27">
        <v>73.87</v>
      </c>
      <c r="L613" s="17" t="s">
        <v>27</v>
      </c>
    </row>
    <row r="614" spans="1:12" x14ac:dyDescent="0.25">
      <c r="A614" s="12">
        <v>2022</v>
      </c>
      <c r="B614" s="12" t="s">
        <v>36</v>
      </c>
      <c r="C614" s="12" t="s">
        <v>32</v>
      </c>
      <c r="D614" s="12" t="s">
        <v>24</v>
      </c>
      <c r="E614" s="13">
        <v>55853</v>
      </c>
      <c r="F614" s="23">
        <v>6813706.7280000001</v>
      </c>
      <c r="G614" s="29">
        <v>4.88</v>
      </c>
      <c r="H614" s="29">
        <v>62.85</v>
      </c>
      <c r="I614" s="12">
        <v>33.76</v>
      </c>
      <c r="J614" s="12">
        <v>63.15</v>
      </c>
      <c r="K614" s="26">
        <v>69.849999999999994</v>
      </c>
      <c r="L614" s="12" t="s">
        <v>21</v>
      </c>
    </row>
    <row r="615" spans="1:12" x14ac:dyDescent="0.25">
      <c r="A615" s="17">
        <v>2022</v>
      </c>
      <c r="B615" s="17" t="s">
        <v>36</v>
      </c>
      <c r="C615" s="17" t="s">
        <v>33</v>
      </c>
      <c r="D615" s="17" t="s">
        <v>24</v>
      </c>
      <c r="E615" s="18">
        <v>47291</v>
      </c>
      <c r="F615" s="24">
        <v>19328484.68</v>
      </c>
      <c r="G615" s="30">
        <v>6.51</v>
      </c>
      <c r="H615" s="30">
        <v>102.8</v>
      </c>
      <c r="I615" s="17">
        <v>36.28</v>
      </c>
      <c r="J615" s="17">
        <v>222.44</v>
      </c>
      <c r="K615" s="27">
        <v>74.489999999999995</v>
      </c>
      <c r="L615" s="17" t="s">
        <v>15</v>
      </c>
    </row>
    <row r="616" spans="1:12" x14ac:dyDescent="0.25">
      <c r="A616" s="12">
        <v>2022</v>
      </c>
      <c r="B616" s="12" t="s">
        <v>36</v>
      </c>
      <c r="C616" s="12" t="s">
        <v>34</v>
      </c>
      <c r="D616" s="12" t="s">
        <v>24</v>
      </c>
      <c r="E616" s="13">
        <v>30901</v>
      </c>
      <c r="F616" s="23">
        <v>11882936.57</v>
      </c>
      <c r="G616" s="29">
        <v>3.47</v>
      </c>
      <c r="H616" s="29">
        <v>95.55</v>
      </c>
      <c r="I616" s="12">
        <v>15.87</v>
      </c>
      <c r="J616" s="12">
        <v>182.47</v>
      </c>
      <c r="K616" s="26">
        <v>50.98</v>
      </c>
      <c r="L616" s="12" t="s">
        <v>15</v>
      </c>
    </row>
    <row r="617" spans="1:12" x14ac:dyDescent="0.25">
      <c r="A617" s="17">
        <v>2022</v>
      </c>
      <c r="B617" s="17" t="s">
        <v>37</v>
      </c>
      <c r="C617" s="17" t="s">
        <v>13</v>
      </c>
      <c r="D617" s="17" t="s">
        <v>14</v>
      </c>
      <c r="E617" s="18">
        <v>8330</v>
      </c>
      <c r="F617" s="24">
        <v>4252116.8880000003</v>
      </c>
      <c r="G617" s="30">
        <v>2.0099999999999998</v>
      </c>
      <c r="H617" s="30">
        <v>89.2</v>
      </c>
      <c r="I617" s="17">
        <v>17.57</v>
      </c>
      <c r="J617" s="17">
        <v>213.49</v>
      </c>
      <c r="K617" s="27">
        <v>61.069999999999901</v>
      </c>
      <c r="L617" s="17" t="s">
        <v>21</v>
      </c>
    </row>
    <row r="618" spans="1:12" x14ac:dyDescent="0.25">
      <c r="A618" s="12">
        <v>2022</v>
      </c>
      <c r="B618" s="12" t="s">
        <v>37</v>
      </c>
      <c r="C618" s="12" t="s">
        <v>16</v>
      </c>
      <c r="D618" s="12" t="s">
        <v>14</v>
      </c>
      <c r="E618" s="13">
        <v>16902</v>
      </c>
      <c r="F618" s="23">
        <v>45919818.68</v>
      </c>
      <c r="G618" s="29">
        <v>-0.25</v>
      </c>
      <c r="H618" s="29">
        <v>68.67</v>
      </c>
      <c r="I618" s="12">
        <v>2.5299999999999998</v>
      </c>
      <c r="J618" s="12">
        <v>66.34</v>
      </c>
      <c r="K618" s="26">
        <v>47.23</v>
      </c>
      <c r="L618" s="12" t="s">
        <v>15</v>
      </c>
    </row>
    <row r="619" spans="1:12" x14ac:dyDescent="0.25">
      <c r="A619" s="17">
        <v>2022</v>
      </c>
      <c r="B619" s="17" t="s">
        <v>37</v>
      </c>
      <c r="C619" s="17" t="s">
        <v>18</v>
      </c>
      <c r="D619" s="17" t="s">
        <v>14</v>
      </c>
      <c r="E619" s="18">
        <v>10352</v>
      </c>
      <c r="F619" s="24">
        <v>10351376.890000001</v>
      </c>
      <c r="G619" s="30">
        <v>3.16</v>
      </c>
      <c r="H619" s="30">
        <v>68.23</v>
      </c>
      <c r="I619" s="17">
        <v>24.33</v>
      </c>
      <c r="J619" s="17">
        <v>137.24</v>
      </c>
      <c r="K619" s="27">
        <v>49.71</v>
      </c>
      <c r="L619" s="17" t="s">
        <v>15</v>
      </c>
    </row>
    <row r="620" spans="1:12" x14ac:dyDescent="0.25">
      <c r="A620" s="12">
        <v>2022</v>
      </c>
      <c r="B620" s="12" t="s">
        <v>37</v>
      </c>
      <c r="C620" s="12" t="s">
        <v>20</v>
      </c>
      <c r="D620" s="12" t="s">
        <v>14</v>
      </c>
      <c r="E620" s="13">
        <v>20904</v>
      </c>
      <c r="F620" s="23">
        <v>41945284.640000001</v>
      </c>
      <c r="G620" s="29">
        <v>-0.06</v>
      </c>
      <c r="H620" s="29">
        <v>53.51</v>
      </c>
      <c r="I620" s="12">
        <v>35.450000000000003</v>
      </c>
      <c r="J620" s="12">
        <v>63.87</v>
      </c>
      <c r="K620" s="26">
        <v>78.05</v>
      </c>
      <c r="L620" s="12" t="s">
        <v>15</v>
      </c>
    </row>
    <row r="621" spans="1:12" x14ac:dyDescent="0.25">
      <c r="A621" s="17">
        <v>2022</v>
      </c>
      <c r="B621" s="17" t="s">
        <v>37</v>
      </c>
      <c r="C621" s="17" t="s">
        <v>22</v>
      </c>
      <c r="D621" s="17" t="s">
        <v>14</v>
      </c>
      <c r="E621" s="18">
        <v>32799</v>
      </c>
      <c r="F621" s="24">
        <v>30084811.850000001</v>
      </c>
      <c r="G621" s="30">
        <v>0.7</v>
      </c>
      <c r="H621" s="30">
        <v>89.07</v>
      </c>
      <c r="I621" s="17">
        <v>45.08</v>
      </c>
      <c r="J621" s="17">
        <v>253.23</v>
      </c>
      <c r="K621" s="27">
        <v>61.38</v>
      </c>
      <c r="L621" s="17" t="s">
        <v>27</v>
      </c>
    </row>
    <row r="622" spans="1:12" x14ac:dyDescent="0.25">
      <c r="A622" s="12">
        <v>2022</v>
      </c>
      <c r="B622" s="12" t="s">
        <v>37</v>
      </c>
      <c r="C622" s="12" t="s">
        <v>23</v>
      </c>
      <c r="D622" s="12" t="s">
        <v>24</v>
      </c>
      <c r="E622" s="13">
        <v>17884</v>
      </c>
      <c r="F622" s="23">
        <v>11319455.1</v>
      </c>
      <c r="G622" s="29">
        <v>4.18</v>
      </c>
      <c r="H622" s="29">
        <v>99.95</v>
      </c>
      <c r="I622" s="12">
        <v>7.17</v>
      </c>
      <c r="J622" s="12">
        <v>265.77999999999997</v>
      </c>
      <c r="K622" s="26">
        <v>86.45</v>
      </c>
      <c r="L622" s="12" t="s">
        <v>21</v>
      </c>
    </row>
    <row r="623" spans="1:12" x14ac:dyDescent="0.25">
      <c r="A623" s="17">
        <v>2022</v>
      </c>
      <c r="B623" s="17" t="s">
        <v>37</v>
      </c>
      <c r="C623" s="17" t="s">
        <v>25</v>
      </c>
      <c r="D623" s="17" t="s">
        <v>24</v>
      </c>
      <c r="E623" s="18">
        <v>40963</v>
      </c>
      <c r="F623" s="24">
        <v>10902531.08</v>
      </c>
      <c r="G623" s="30">
        <v>2.86</v>
      </c>
      <c r="H623" s="30">
        <v>42.87</v>
      </c>
      <c r="I623" s="17">
        <v>21.56</v>
      </c>
      <c r="J623" s="17">
        <v>281.31</v>
      </c>
      <c r="K623" s="27">
        <v>81.510000000000005</v>
      </c>
      <c r="L623" s="17" t="s">
        <v>19</v>
      </c>
    </row>
    <row r="624" spans="1:12" x14ac:dyDescent="0.25">
      <c r="A624" s="12">
        <v>2022</v>
      </c>
      <c r="B624" s="12" t="s">
        <v>37</v>
      </c>
      <c r="C624" s="12" t="s">
        <v>26</v>
      </c>
      <c r="D624" s="12" t="s">
        <v>24</v>
      </c>
      <c r="E624" s="13">
        <v>15691</v>
      </c>
      <c r="F624" s="23">
        <v>21823040.170000002</v>
      </c>
      <c r="G624" s="29">
        <v>3.07</v>
      </c>
      <c r="H624" s="29">
        <v>42.69</v>
      </c>
      <c r="I624" s="12">
        <v>42.69</v>
      </c>
      <c r="J624" s="12">
        <v>135.63</v>
      </c>
      <c r="K624" s="26">
        <v>72.27</v>
      </c>
      <c r="L624" s="12" t="s">
        <v>21</v>
      </c>
    </row>
    <row r="625" spans="1:12" x14ac:dyDescent="0.25">
      <c r="A625" s="17">
        <v>2022</v>
      </c>
      <c r="B625" s="17" t="s">
        <v>37</v>
      </c>
      <c r="C625" s="17" t="s">
        <v>28</v>
      </c>
      <c r="D625" s="17" t="s">
        <v>24</v>
      </c>
      <c r="E625" s="18">
        <v>23653</v>
      </c>
      <c r="F625" s="24">
        <v>24085328.149999999</v>
      </c>
      <c r="G625" s="30">
        <v>5.64</v>
      </c>
      <c r="H625" s="30">
        <v>87.55</v>
      </c>
      <c r="I625" s="17">
        <v>41.3</v>
      </c>
      <c r="J625" s="17">
        <v>170.64</v>
      </c>
      <c r="K625" s="27">
        <v>46.15</v>
      </c>
      <c r="L625" s="17" t="s">
        <v>27</v>
      </c>
    </row>
    <row r="626" spans="1:12" x14ac:dyDescent="0.25">
      <c r="A626" s="12">
        <v>2022</v>
      </c>
      <c r="B626" s="12" t="s">
        <v>37</v>
      </c>
      <c r="C626" s="12" t="s">
        <v>29</v>
      </c>
      <c r="D626" s="12" t="s">
        <v>24</v>
      </c>
      <c r="E626" s="13">
        <v>56264</v>
      </c>
      <c r="F626" s="23">
        <v>11515465.800000001</v>
      </c>
      <c r="G626" s="29">
        <v>3.42</v>
      </c>
      <c r="H626" s="29">
        <v>82.21</v>
      </c>
      <c r="I626" s="12">
        <v>39.950000000000003</v>
      </c>
      <c r="J626" s="12">
        <v>68.7</v>
      </c>
      <c r="K626" s="26">
        <v>94.84</v>
      </c>
      <c r="L626" s="12" t="s">
        <v>27</v>
      </c>
    </row>
    <row r="627" spans="1:12" x14ac:dyDescent="0.25">
      <c r="A627" s="17">
        <v>2022</v>
      </c>
      <c r="B627" s="17" t="s">
        <v>37</v>
      </c>
      <c r="C627" s="17" t="s">
        <v>30</v>
      </c>
      <c r="D627" s="17" t="s">
        <v>24</v>
      </c>
      <c r="E627" s="18">
        <v>47629</v>
      </c>
      <c r="F627" s="24">
        <v>40258147.689999998</v>
      </c>
      <c r="G627" s="30">
        <v>2.59</v>
      </c>
      <c r="H627" s="30">
        <v>62.4</v>
      </c>
      <c r="I627" s="17">
        <v>46.2</v>
      </c>
      <c r="J627" s="17">
        <v>174.55</v>
      </c>
      <c r="K627" s="27">
        <v>88.86</v>
      </c>
      <c r="L627" s="17" t="s">
        <v>17</v>
      </c>
    </row>
    <row r="628" spans="1:12" x14ac:dyDescent="0.25">
      <c r="A628" s="12">
        <v>2022</v>
      </c>
      <c r="B628" s="12" t="s">
        <v>37</v>
      </c>
      <c r="C628" s="12" t="s">
        <v>31</v>
      </c>
      <c r="D628" s="12" t="s">
        <v>24</v>
      </c>
      <c r="E628" s="13">
        <v>22829</v>
      </c>
      <c r="F628" s="23">
        <v>33124655.16</v>
      </c>
      <c r="G628" s="29">
        <v>6.4</v>
      </c>
      <c r="H628" s="29">
        <v>70.69</v>
      </c>
      <c r="I628" s="12">
        <v>26.25</v>
      </c>
      <c r="J628" s="12">
        <v>125.31</v>
      </c>
      <c r="K628" s="26">
        <v>93.2</v>
      </c>
      <c r="L628" s="12" t="s">
        <v>21</v>
      </c>
    </row>
    <row r="629" spans="1:12" x14ac:dyDescent="0.25">
      <c r="A629" s="17">
        <v>2022</v>
      </c>
      <c r="B629" s="17" t="s">
        <v>37</v>
      </c>
      <c r="C629" s="17" t="s">
        <v>32</v>
      </c>
      <c r="D629" s="17" t="s">
        <v>24</v>
      </c>
      <c r="E629" s="18">
        <v>33785</v>
      </c>
      <c r="F629" s="24">
        <v>47573854.619999997</v>
      </c>
      <c r="G629" s="30">
        <v>5.64</v>
      </c>
      <c r="H629" s="30">
        <v>92.95</v>
      </c>
      <c r="I629" s="17">
        <v>33.129999999999903</v>
      </c>
      <c r="J629" s="17">
        <v>109.94</v>
      </c>
      <c r="K629" s="27">
        <v>93.28</v>
      </c>
      <c r="L629" s="17" t="s">
        <v>17</v>
      </c>
    </row>
    <row r="630" spans="1:12" x14ac:dyDescent="0.25">
      <c r="A630" s="12">
        <v>2022</v>
      </c>
      <c r="B630" s="12" t="s">
        <v>37</v>
      </c>
      <c r="C630" s="12" t="s">
        <v>33</v>
      </c>
      <c r="D630" s="12" t="s">
        <v>24</v>
      </c>
      <c r="E630" s="13">
        <v>28676</v>
      </c>
      <c r="F630" s="23">
        <v>33319538.640000001</v>
      </c>
      <c r="G630" s="29">
        <v>5.17</v>
      </c>
      <c r="H630" s="29">
        <v>80.3</v>
      </c>
      <c r="I630" s="12">
        <v>30.76</v>
      </c>
      <c r="J630" s="12">
        <v>213.39</v>
      </c>
      <c r="K630" s="26">
        <v>76.2</v>
      </c>
      <c r="L630" s="12" t="s">
        <v>15</v>
      </c>
    </row>
    <row r="631" spans="1:12" x14ac:dyDescent="0.25">
      <c r="A631" s="17">
        <v>2022</v>
      </c>
      <c r="B631" s="17" t="s">
        <v>37</v>
      </c>
      <c r="C631" s="17" t="s">
        <v>34</v>
      </c>
      <c r="D631" s="17" t="s">
        <v>24</v>
      </c>
      <c r="E631" s="18">
        <v>62215</v>
      </c>
      <c r="F631" s="24">
        <v>44729535.659999996</v>
      </c>
      <c r="G631" s="30">
        <v>3.04</v>
      </c>
      <c r="H631" s="30">
        <v>93.8</v>
      </c>
      <c r="I631" s="17">
        <v>38.79</v>
      </c>
      <c r="J631" s="17">
        <v>253.73</v>
      </c>
      <c r="K631" s="27">
        <v>45.63</v>
      </c>
      <c r="L631" s="17" t="s">
        <v>17</v>
      </c>
    </row>
    <row r="632" spans="1:12" x14ac:dyDescent="0.25">
      <c r="A632" s="12">
        <v>2022</v>
      </c>
      <c r="B632" s="12" t="s">
        <v>36</v>
      </c>
      <c r="C632" s="12" t="s">
        <v>30</v>
      </c>
      <c r="D632" s="12" t="s">
        <v>24</v>
      </c>
      <c r="E632" s="13">
        <v>16005</v>
      </c>
      <c r="F632" s="23">
        <v>41833223.630000003</v>
      </c>
      <c r="G632" s="29">
        <v>6.71</v>
      </c>
      <c r="H632" s="29">
        <v>88.73</v>
      </c>
      <c r="I632" s="12">
        <v>39.93</v>
      </c>
      <c r="J632" s="12">
        <v>281.7</v>
      </c>
      <c r="K632" s="26">
        <v>86.82</v>
      </c>
      <c r="L632" s="12" t="s">
        <v>19</v>
      </c>
    </row>
    <row r="633" spans="1:12" x14ac:dyDescent="0.25">
      <c r="A633" s="17">
        <v>2022</v>
      </c>
      <c r="B633" s="17" t="s">
        <v>36</v>
      </c>
      <c r="C633" s="17" t="s">
        <v>20</v>
      </c>
      <c r="D633" s="17" t="s">
        <v>14</v>
      </c>
      <c r="E633" s="18">
        <v>8330</v>
      </c>
      <c r="F633" s="24">
        <v>26191927.649999999</v>
      </c>
      <c r="G633" s="30">
        <v>4</v>
      </c>
      <c r="H633" s="30">
        <v>73.87</v>
      </c>
      <c r="I633" s="17">
        <v>24.35</v>
      </c>
      <c r="J633" s="17">
        <v>169.49</v>
      </c>
      <c r="K633" s="27">
        <v>53.29</v>
      </c>
      <c r="L633" s="17" t="s">
        <v>21</v>
      </c>
    </row>
    <row r="634" spans="1:12" x14ac:dyDescent="0.25">
      <c r="A634" s="12">
        <v>2022</v>
      </c>
      <c r="B634" s="12" t="s">
        <v>12</v>
      </c>
      <c r="C634" s="12" t="s">
        <v>29</v>
      </c>
      <c r="D634" s="12" t="s">
        <v>24</v>
      </c>
      <c r="E634" s="13">
        <v>6800</v>
      </c>
      <c r="F634" s="23">
        <v>6213699.6119999997</v>
      </c>
      <c r="G634" s="29">
        <v>6.1</v>
      </c>
      <c r="H634" s="29">
        <v>52.04</v>
      </c>
      <c r="I634" s="12">
        <v>54.21</v>
      </c>
      <c r="J634" s="12">
        <v>81.93</v>
      </c>
      <c r="K634" s="26">
        <v>52.88</v>
      </c>
      <c r="L634" s="12" t="s">
        <v>19</v>
      </c>
    </row>
    <row r="635" spans="1:12" x14ac:dyDescent="0.25">
      <c r="A635" s="17">
        <v>2022</v>
      </c>
      <c r="B635" s="17" t="s">
        <v>36</v>
      </c>
      <c r="C635" s="17" t="s">
        <v>22</v>
      </c>
      <c r="D635" s="17" t="s">
        <v>14</v>
      </c>
      <c r="E635" s="18">
        <v>32243</v>
      </c>
      <c r="F635" s="24">
        <v>28519800.440000001</v>
      </c>
      <c r="G635" s="30">
        <v>0.12999999999999901</v>
      </c>
      <c r="H635" s="30">
        <v>27.27</v>
      </c>
      <c r="I635" s="17">
        <v>22.56</v>
      </c>
      <c r="J635" s="17">
        <v>82.24</v>
      </c>
      <c r="K635" s="27">
        <v>53.9</v>
      </c>
      <c r="L635" s="17" t="s">
        <v>21</v>
      </c>
    </row>
    <row r="636" spans="1:12" x14ac:dyDescent="0.25">
      <c r="A636" s="12">
        <v>2022</v>
      </c>
      <c r="B636" s="12" t="s">
        <v>36</v>
      </c>
      <c r="C636" s="12" t="s">
        <v>28</v>
      </c>
      <c r="D636" s="12" t="s">
        <v>24</v>
      </c>
      <c r="E636" s="13">
        <v>64883</v>
      </c>
      <c r="F636" s="23">
        <v>70601769.767999902</v>
      </c>
      <c r="G636" s="29">
        <v>4.5999999999999996</v>
      </c>
      <c r="H636" s="29">
        <v>61.16</v>
      </c>
      <c r="I636" s="12">
        <v>31.32</v>
      </c>
      <c r="J636" s="12">
        <v>154.51</v>
      </c>
      <c r="K636" s="26">
        <v>92.8</v>
      </c>
      <c r="L636" s="12" t="s">
        <v>17</v>
      </c>
    </row>
    <row r="637" spans="1:12" x14ac:dyDescent="0.25">
      <c r="A637" s="17">
        <v>2022</v>
      </c>
      <c r="B637" s="17" t="s">
        <v>37</v>
      </c>
      <c r="C637" s="17" t="s">
        <v>32</v>
      </c>
      <c r="D637" s="17" t="s">
        <v>24</v>
      </c>
      <c r="E637" s="18">
        <v>33785</v>
      </c>
      <c r="F637" s="24">
        <v>47573854.619999997</v>
      </c>
      <c r="G637" s="30">
        <v>5.64</v>
      </c>
      <c r="H637" s="30">
        <v>92.95</v>
      </c>
      <c r="I637" s="17">
        <v>33.129999999999903</v>
      </c>
      <c r="J637" s="17">
        <v>109.94</v>
      </c>
      <c r="K637" s="27">
        <v>93.28</v>
      </c>
      <c r="L637" s="17" t="s">
        <v>17</v>
      </c>
    </row>
    <row r="638" spans="1:12" x14ac:dyDescent="0.25">
      <c r="A638" s="12">
        <v>2022</v>
      </c>
      <c r="B638" s="12" t="s">
        <v>35</v>
      </c>
      <c r="C638" s="12" t="s">
        <v>25</v>
      </c>
      <c r="D638" s="12" t="s">
        <v>24</v>
      </c>
      <c r="E638" s="13">
        <v>15007</v>
      </c>
      <c r="F638" s="23">
        <v>56176071.659999996</v>
      </c>
      <c r="G638" s="29">
        <v>6.81</v>
      </c>
      <c r="H638" s="29">
        <v>83.96</v>
      </c>
      <c r="I638" s="12">
        <v>44.71</v>
      </c>
      <c r="J638" s="12">
        <v>258.98</v>
      </c>
      <c r="K638" s="26">
        <v>59.6</v>
      </c>
      <c r="L638" s="12" t="s">
        <v>17</v>
      </c>
    </row>
    <row r="639" spans="1:12" x14ac:dyDescent="0.25">
      <c r="A639" s="17">
        <v>2022</v>
      </c>
      <c r="B639" s="17" t="s">
        <v>36</v>
      </c>
      <c r="C639" s="17" t="s">
        <v>31</v>
      </c>
      <c r="D639" s="17" t="s">
        <v>24</v>
      </c>
      <c r="E639" s="18">
        <v>55071</v>
      </c>
      <c r="F639" s="24">
        <v>52340365.75</v>
      </c>
      <c r="G639" s="30">
        <v>3.6</v>
      </c>
      <c r="H639" s="30">
        <v>55.45</v>
      </c>
      <c r="I639" s="17">
        <v>51.49</v>
      </c>
      <c r="J639" s="17">
        <v>279.27</v>
      </c>
      <c r="K639" s="27">
        <v>73.87</v>
      </c>
      <c r="L639" s="17" t="s">
        <v>27</v>
      </c>
    </row>
    <row r="640" spans="1:12" x14ac:dyDescent="0.25">
      <c r="A640" s="12">
        <v>2022</v>
      </c>
      <c r="B640" s="12" t="s">
        <v>35</v>
      </c>
      <c r="C640" s="12" t="s">
        <v>16</v>
      </c>
      <c r="D640" s="12" t="s">
        <v>14</v>
      </c>
      <c r="E640" s="13">
        <v>5465</v>
      </c>
      <c r="F640" s="23">
        <v>14185149.880000001</v>
      </c>
      <c r="G640" s="29">
        <v>1.97</v>
      </c>
      <c r="H640" s="29">
        <v>73.540000000000006</v>
      </c>
      <c r="I640" s="12">
        <v>45.99</v>
      </c>
      <c r="J640" s="12">
        <v>292.18</v>
      </c>
      <c r="K640" s="26">
        <v>37.14</v>
      </c>
      <c r="L640" s="12" t="s">
        <v>21</v>
      </c>
    </row>
    <row r="641" spans="1:12" x14ac:dyDescent="0.25">
      <c r="A641" s="17">
        <v>2022</v>
      </c>
      <c r="B641" s="17" t="s">
        <v>35</v>
      </c>
      <c r="C641" s="17" t="s">
        <v>25</v>
      </c>
      <c r="D641" s="17" t="s">
        <v>24</v>
      </c>
      <c r="E641" s="18">
        <v>15007</v>
      </c>
      <c r="F641" s="24">
        <v>56176071.659999996</v>
      </c>
      <c r="G641" s="30">
        <v>6.81</v>
      </c>
      <c r="H641" s="30">
        <v>83.96</v>
      </c>
      <c r="I641" s="17">
        <v>44.71</v>
      </c>
      <c r="J641" s="17">
        <v>258.98</v>
      </c>
      <c r="K641" s="27">
        <v>59.6</v>
      </c>
      <c r="L641" s="17" t="s">
        <v>17</v>
      </c>
    </row>
    <row r="642" spans="1:12" x14ac:dyDescent="0.25">
      <c r="A642" s="12">
        <v>2022</v>
      </c>
      <c r="B642" s="12" t="s">
        <v>37</v>
      </c>
      <c r="C642" s="12" t="s">
        <v>31</v>
      </c>
      <c r="D642" s="12" t="s">
        <v>24</v>
      </c>
      <c r="E642" s="13">
        <v>22829</v>
      </c>
      <c r="F642" s="23">
        <v>33124655.16</v>
      </c>
      <c r="G642" s="29">
        <v>6.4</v>
      </c>
      <c r="H642" s="29">
        <v>70.69</v>
      </c>
      <c r="I642" s="12">
        <v>26.25</v>
      </c>
      <c r="J642" s="12">
        <v>125.31</v>
      </c>
      <c r="K642" s="26">
        <v>93.2</v>
      </c>
      <c r="L642" s="12" t="s">
        <v>21</v>
      </c>
    </row>
    <row r="643" spans="1:12" x14ac:dyDescent="0.25">
      <c r="A643" s="17">
        <v>2022</v>
      </c>
      <c r="B643" s="17" t="s">
        <v>36</v>
      </c>
      <c r="C643" s="17" t="s">
        <v>26</v>
      </c>
      <c r="D643" s="17" t="s">
        <v>24</v>
      </c>
      <c r="E643" s="18">
        <v>43668</v>
      </c>
      <c r="F643" s="24">
        <v>32615703.949999999</v>
      </c>
      <c r="G643" s="30">
        <v>3.64</v>
      </c>
      <c r="H643" s="30">
        <v>41.86</v>
      </c>
      <c r="I643" s="17">
        <v>25.87</v>
      </c>
      <c r="J643" s="17">
        <v>164.53</v>
      </c>
      <c r="K643" s="27">
        <v>62.1</v>
      </c>
      <c r="L643" s="17" t="s">
        <v>19</v>
      </c>
    </row>
    <row r="644" spans="1:12" x14ac:dyDescent="0.25">
      <c r="A644" s="12">
        <v>2022</v>
      </c>
      <c r="B644" s="12" t="s">
        <v>35</v>
      </c>
      <c r="C644" s="12" t="s">
        <v>16</v>
      </c>
      <c r="D644" s="12" t="s">
        <v>14</v>
      </c>
      <c r="E644" s="13">
        <v>5465</v>
      </c>
      <c r="F644" s="23">
        <v>14185149.880000001</v>
      </c>
      <c r="G644" s="29">
        <v>1.97</v>
      </c>
      <c r="H644" s="29">
        <v>73.540000000000006</v>
      </c>
      <c r="I644" s="12">
        <v>45.99</v>
      </c>
      <c r="J644" s="12">
        <v>292.18</v>
      </c>
      <c r="K644" s="26">
        <v>37.14</v>
      </c>
      <c r="L644" s="12" t="s">
        <v>21</v>
      </c>
    </row>
    <row r="645" spans="1:12" x14ac:dyDescent="0.25">
      <c r="A645" s="17">
        <v>2022</v>
      </c>
      <c r="B645" s="17" t="s">
        <v>12</v>
      </c>
      <c r="C645" s="17" t="s">
        <v>25</v>
      </c>
      <c r="D645" s="17" t="s">
        <v>24</v>
      </c>
      <c r="E645" s="18">
        <v>33814</v>
      </c>
      <c r="F645" s="24">
        <v>62983632.700000003</v>
      </c>
      <c r="G645" s="30">
        <v>4.5599999999999996</v>
      </c>
      <c r="H645" s="30">
        <v>57.41</v>
      </c>
      <c r="I645" s="17">
        <v>21.53</v>
      </c>
      <c r="J645" s="17">
        <v>170.67</v>
      </c>
      <c r="K645" s="27">
        <v>72.61</v>
      </c>
      <c r="L645" s="17" t="s">
        <v>27</v>
      </c>
    </row>
    <row r="646" spans="1:12" x14ac:dyDescent="0.25">
      <c r="A646" s="12">
        <v>2022</v>
      </c>
      <c r="B646" s="12" t="s">
        <v>35</v>
      </c>
      <c r="C646" s="12" t="s">
        <v>16</v>
      </c>
      <c r="D646" s="12" t="s">
        <v>14</v>
      </c>
      <c r="E646" s="13">
        <v>5465</v>
      </c>
      <c r="F646" s="23">
        <v>14185149.880000001</v>
      </c>
      <c r="G646" s="29">
        <v>1.97</v>
      </c>
      <c r="H646" s="29">
        <v>73.540000000000006</v>
      </c>
      <c r="I646" s="12">
        <v>45.99</v>
      </c>
      <c r="J646" s="12">
        <v>292.18</v>
      </c>
      <c r="K646" s="26">
        <v>37.14</v>
      </c>
      <c r="L646" s="12" t="s">
        <v>21</v>
      </c>
    </row>
    <row r="647" spans="1:12" x14ac:dyDescent="0.25">
      <c r="A647" s="17">
        <v>2022</v>
      </c>
      <c r="B647" s="17" t="s">
        <v>37</v>
      </c>
      <c r="C647" s="17" t="s">
        <v>22</v>
      </c>
      <c r="D647" s="17" t="s">
        <v>14</v>
      </c>
      <c r="E647" s="18">
        <v>32799</v>
      </c>
      <c r="F647" s="24">
        <v>30084811.850000001</v>
      </c>
      <c r="G647" s="30">
        <v>0.7</v>
      </c>
      <c r="H647" s="30">
        <v>89.07</v>
      </c>
      <c r="I647" s="17">
        <v>45.08</v>
      </c>
      <c r="J647" s="17">
        <v>253.23</v>
      </c>
      <c r="K647" s="27">
        <v>61.38</v>
      </c>
      <c r="L647" s="17" t="s">
        <v>27</v>
      </c>
    </row>
    <row r="648" spans="1:12" x14ac:dyDescent="0.25">
      <c r="A648" s="12">
        <v>2022</v>
      </c>
      <c r="B648" s="12" t="s">
        <v>12</v>
      </c>
      <c r="C648" s="12" t="s">
        <v>22</v>
      </c>
      <c r="D648" s="12" t="s">
        <v>14</v>
      </c>
      <c r="E648" s="13">
        <v>35233</v>
      </c>
      <c r="F648" s="23">
        <v>10414206.279999999</v>
      </c>
      <c r="G648" s="29">
        <v>2.0099999999999998</v>
      </c>
      <c r="H648" s="29">
        <v>84.7</v>
      </c>
      <c r="I648" s="12">
        <v>12.7</v>
      </c>
      <c r="J648" s="12">
        <v>92.35</v>
      </c>
      <c r="K648" s="26">
        <v>51.97</v>
      </c>
      <c r="L648" s="12" t="s">
        <v>21</v>
      </c>
    </row>
    <row r="649" spans="1:12" x14ac:dyDescent="0.25">
      <c r="A649" s="17">
        <v>2022</v>
      </c>
      <c r="B649" s="17" t="s">
        <v>12</v>
      </c>
      <c r="C649" s="17" t="s">
        <v>22</v>
      </c>
      <c r="D649" s="17" t="s">
        <v>14</v>
      </c>
      <c r="E649" s="18">
        <v>35233</v>
      </c>
      <c r="F649" s="24">
        <v>10414206.279999999</v>
      </c>
      <c r="G649" s="30">
        <v>2.0099999999999998</v>
      </c>
      <c r="H649" s="30">
        <v>84.7</v>
      </c>
      <c r="I649" s="17">
        <v>12.7</v>
      </c>
      <c r="J649" s="17">
        <v>92.35</v>
      </c>
      <c r="K649" s="27">
        <v>51.97</v>
      </c>
      <c r="L649" s="17" t="s">
        <v>21</v>
      </c>
    </row>
    <row r="650" spans="1:12" x14ac:dyDescent="0.25">
      <c r="A650" s="12">
        <v>2022</v>
      </c>
      <c r="B650" s="12" t="s">
        <v>35</v>
      </c>
      <c r="C650" s="12" t="s">
        <v>29</v>
      </c>
      <c r="D650" s="12" t="s">
        <v>24</v>
      </c>
      <c r="E650" s="13">
        <v>54159</v>
      </c>
      <c r="F650" s="23">
        <v>43416974.450000003</v>
      </c>
      <c r="G650" s="29">
        <v>5.91</v>
      </c>
      <c r="H650" s="29">
        <v>101.8</v>
      </c>
      <c r="I650" s="12">
        <v>45.27</v>
      </c>
      <c r="J650" s="12">
        <v>232.71</v>
      </c>
      <c r="K650" s="26">
        <v>51.01</v>
      </c>
      <c r="L650" s="12" t="s">
        <v>17</v>
      </c>
    </row>
    <row r="651" spans="1:12" x14ac:dyDescent="0.25">
      <c r="A651" s="17">
        <v>2022</v>
      </c>
      <c r="B651" s="17" t="s">
        <v>12</v>
      </c>
      <c r="C651" s="17" t="s">
        <v>29</v>
      </c>
      <c r="D651" s="17" t="s">
        <v>24</v>
      </c>
      <c r="E651" s="18">
        <v>6800</v>
      </c>
      <c r="F651" s="24">
        <v>6213699.6119999997</v>
      </c>
      <c r="G651" s="30">
        <v>6.1</v>
      </c>
      <c r="H651" s="30">
        <v>52.04</v>
      </c>
      <c r="I651" s="17">
        <v>54.21</v>
      </c>
      <c r="J651" s="17">
        <v>81.93</v>
      </c>
      <c r="K651" s="27">
        <v>52.88</v>
      </c>
      <c r="L651" s="17" t="s">
        <v>19</v>
      </c>
    </row>
    <row r="652" spans="1:12" x14ac:dyDescent="0.25">
      <c r="A652" s="12">
        <v>2022</v>
      </c>
      <c r="B652" s="12" t="s">
        <v>12</v>
      </c>
      <c r="C652" s="12" t="s">
        <v>22</v>
      </c>
      <c r="D652" s="12" t="s">
        <v>14</v>
      </c>
      <c r="E652" s="13">
        <v>35233</v>
      </c>
      <c r="F652" s="23">
        <v>10414206.279999999</v>
      </c>
      <c r="G652" s="29">
        <v>2.0099999999999998</v>
      </c>
      <c r="H652" s="29">
        <v>84.7</v>
      </c>
      <c r="I652" s="12">
        <v>12.7</v>
      </c>
      <c r="J652" s="12">
        <v>92.35</v>
      </c>
      <c r="K652" s="26">
        <v>51.97</v>
      </c>
      <c r="L652" s="12" t="s">
        <v>21</v>
      </c>
    </row>
    <row r="653" spans="1:12" x14ac:dyDescent="0.25">
      <c r="A653" s="17">
        <v>2022</v>
      </c>
      <c r="B653" s="17" t="s">
        <v>35</v>
      </c>
      <c r="C653" s="17" t="s">
        <v>32</v>
      </c>
      <c r="D653" s="17" t="s">
        <v>24</v>
      </c>
      <c r="E653" s="18">
        <v>58156</v>
      </c>
      <c r="F653" s="24">
        <v>45419753.700000003</v>
      </c>
      <c r="G653" s="30">
        <v>4.2799999999999896</v>
      </c>
      <c r="H653" s="30">
        <v>88.11</v>
      </c>
      <c r="I653" s="17">
        <v>44.95</v>
      </c>
      <c r="J653" s="17">
        <v>232.59</v>
      </c>
      <c r="K653" s="27">
        <v>86.74</v>
      </c>
      <c r="L653" s="17" t="s">
        <v>19</v>
      </c>
    </row>
    <row r="654" spans="1:12" x14ac:dyDescent="0.25">
      <c r="A654" s="12">
        <v>2022</v>
      </c>
      <c r="B654" s="12" t="s">
        <v>36</v>
      </c>
      <c r="C654" s="12" t="s">
        <v>16</v>
      </c>
      <c r="D654" s="12" t="s">
        <v>14</v>
      </c>
      <c r="E654" s="13">
        <v>27006</v>
      </c>
      <c r="F654" s="23">
        <v>5136019.5420000004</v>
      </c>
      <c r="G654" s="29">
        <v>0.36</v>
      </c>
      <c r="H654" s="29">
        <v>70.180000000000007</v>
      </c>
      <c r="I654" s="12">
        <v>-0.05</v>
      </c>
      <c r="J654" s="12">
        <v>179.88</v>
      </c>
      <c r="K654" s="26">
        <v>63.62</v>
      </c>
      <c r="L654" s="12" t="s">
        <v>19</v>
      </c>
    </row>
    <row r="655" spans="1:12" x14ac:dyDescent="0.25">
      <c r="A655" s="17">
        <v>2022</v>
      </c>
      <c r="B655" s="17" t="s">
        <v>35</v>
      </c>
      <c r="C655" s="17" t="s">
        <v>16</v>
      </c>
      <c r="D655" s="17" t="s">
        <v>14</v>
      </c>
      <c r="E655" s="18">
        <v>5465</v>
      </c>
      <c r="F655" s="24">
        <v>14185149.880000001</v>
      </c>
      <c r="G655" s="30">
        <v>1.97</v>
      </c>
      <c r="H655" s="30">
        <v>73.540000000000006</v>
      </c>
      <c r="I655" s="17">
        <v>45.99</v>
      </c>
      <c r="J655" s="17">
        <v>292.18</v>
      </c>
      <c r="K655" s="27">
        <v>37.14</v>
      </c>
      <c r="L655" s="17" t="s">
        <v>21</v>
      </c>
    </row>
    <row r="656" spans="1:12" x14ac:dyDescent="0.25">
      <c r="A656" s="12">
        <v>2022</v>
      </c>
      <c r="B656" s="12" t="s">
        <v>36</v>
      </c>
      <c r="C656" s="12" t="s">
        <v>16</v>
      </c>
      <c r="D656" s="12" t="s">
        <v>14</v>
      </c>
      <c r="E656" s="13">
        <v>27006</v>
      </c>
      <c r="F656" s="23">
        <v>5136019.5420000004</v>
      </c>
      <c r="G656" s="29">
        <v>0.36</v>
      </c>
      <c r="H656" s="29">
        <v>70.180000000000007</v>
      </c>
      <c r="I656" s="12">
        <v>-0.05</v>
      </c>
      <c r="J656" s="12">
        <v>179.88</v>
      </c>
      <c r="K656" s="26">
        <v>63.62</v>
      </c>
      <c r="L656" s="12" t="s">
        <v>19</v>
      </c>
    </row>
    <row r="657" spans="1:12" x14ac:dyDescent="0.25">
      <c r="A657" s="17">
        <v>2022</v>
      </c>
      <c r="B657" s="17" t="s">
        <v>12</v>
      </c>
      <c r="C657" s="17" t="s">
        <v>30</v>
      </c>
      <c r="D657" s="17" t="s">
        <v>24</v>
      </c>
      <c r="E657" s="18">
        <v>6787</v>
      </c>
      <c r="F657" s="24">
        <v>52571041.670000002</v>
      </c>
      <c r="G657" s="30">
        <v>4.93</v>
      </c>
      <c r="H657" s="30">
        <v>103.73</v>
      </c>
      <c r="I657" s="17">
        <v>29.49</v>
      </c>
      <c r="J657" s="17">
        <v>274.81</v>
      </c>
      <c r="K657" s="27">
        <v>47.7</v>
      </c>
      <c r="L657" s="17" t="s">
        <v>17</v>
      </c>
    </row>
    <row r="658" spans="1:12" x14ac:dyDescent="0.25">
      <c r="A658" s="12">
        <v>2022</v>
      </c>
      <c r="B658" s="12" t="s">
        <v>37</v>
      </c>
      <c r="C658" s="12" t="s">
        <v>28</v>
      </c>
      <c r="D658" s="12" t="s">
        <v>24</v>
      </c>
      <c r="E658" s="13">
        <v>23653</v>
      </c>
      <c r="F658" s="23">
        <v>24085328.149999999</v>
      </c>
      <c r="G658" s="29">
        <v>5.64</v>
      </c>
      <c r="H658" s="29">
        <v>87.55</v>
      </c>
      <c r="I658" s="12">
        <v>41.3</v>
      </c>
      <c r="J658" s="12">
        <v>170.64</v>
      </c>
      <c r="K658" s="26">
        <v>46.15</v>
      </c>
      <c r="L658" s="12" t="s">
        <v>27</v>
      </c>
    </row>
    <row r="659" spans="1:12" x14ac:dyDescent="0.25">
      <c r="A659" s="17">
        <v>2022</v>
      </c>
      <c r="B659" s="17" t="s">
        <v>37</v>
      </c>
      <c r="C659" s="17" t="s">
        <v>16</v>
      </c>
      <c r="D659" s="17" t="s">
        <v>14</v>
      </c>
      <c r="E659" s="18">
        <v>16902</v>
      </c>
      <c r="F659" s="24">
        <v>45919818.68</v>
      </c>
      <c r="G659" s="30">
        <v>-0.25</v>
      </c>
      <c r="H659" s="30">
        <v>68.67</v>
      </c>
      <c r="I659" s="17">
        <v>2.5299999999999998</v>
      </c>
      <c r="J659" s="17">
        <v>66.34</v>
      </c>
      <c r="K659" s="27">
        <v>47.23</v>
      </c>
      <c r="L659" s="17" t="s">
        <v>15</v>
      </c>
    </row>
    <row r="660" spans="1:12" x14ac:dyDescent="0.25">
      <c r="A660" s="12">
        <v>2022</v>
      </c>
      <c r="B660" s="12" t="s">
        <v>35</v>
      </c>
      <c r="C660" s="12" t="s">
        <v>33</v>
      </c>
      <c r="D660" s="12" t="s">
        <v>24</v>
      </c>
      <c r="E660" s="13">
        <v>33117</v>
      </c>
      <c r="F660" s="23">
        <v>5432435.60399999</v>
      </c>
      <c r="G660" s="29">
        <v>6.58</v>
      </c>
      <c r="H660" s="29">
        <v>83.47</v>
      </c>
      <c r="I660" s="12">
        <v>38.520000000000003</v>
      </c>
      <c r="J660" s="12">
        <v>282.72000000000003</v>
      </c>
      <c r="K660" s="26">
        <v>86.09</v>
      </c>
      <c r="L660" s="12" t="s">
        <v>15</v>
      </c>
    </row>
    <row r="661" spans="1:12" x14ac:dyDescent="0.25">
      <c r="A661" s="17">
        <v>2022</v>
      </c>
      <c r="B661" s="17" t="s">
        <v>36</v>
      </c>
      <c r="C661" s="17" t="s">
        <v>23</v>
      </c>
      <c r="D661" s="17" t="s">
        <v>24</v>
      </c>
      <c r="E661" s="18">
        <v>49871</v>
      </c>
      <c r="F661" s="24">
        <v>8902985.2439999897</v>
      </c>
      <c r="G661" s="30">
        <v>6.82</v>
      </c>
      <c r="H661" s="30">
        <v>48.95</v>
      </c>
      <c r="I661" s="17">
        <v>18.68</v>
      </c>
      <c r="J661" s="17">
        <v>240.7</v>
      </c>
      <c r="K661" s="27">
        <v>53.91</v>
      </c>
      <c r="L661" s="17" t="s">
        <v>21</v>
      </c>
    </row>
    <row r="662" spans="1:12" x14ac:dyDescent="0.25">
      <c r="A662" s="12">
        <v>2022</v>
      </c>
      <c r="B662" s="12" t="s">
        <v>12</v>
      </c>
      <c r="C662" s="12" t="s">
        <v>23</v>
      </c>
      <c r="D662" s="12" t="s">
        <v>24</v>
      </c>
      <c r="E662" s="13">
        <v>41857</v>
      </c>
      <c r="F662" s="23">
        <v>71129083.790000007</v>
      </c>
      <c r="G662" s="29">
        <v>4.8599999999999897</v>
      </c>
      <c r="H662" s="29">
        <v>73.91</v>
      </c>
      <c r="I662" s="12">
        <v>45.53</v>
      </c>
      <c r="J662" s="12">
        <v>173.38</v>
      </c>
      <c r="K662" s="26">
        <v>53.59</v>
      </c>
      <c r="L662" s="12" t="s">
        <v>27</v>
      </c>
    </row>
    <row r="663" spans="1:12" x14ac:dyDescent="0.25">
      <c r="A663" s="17">
        <v>2022</v>
      </c>
      <c r="B663" s="17" t="s">
        <v>35</v>
      </c>
      <c r="C663" s="17" t="s">
        <v>25</v>
      </c>
      <c r="D663" s="17" t="s">
        <v>24</v>
      </c>
      <c r="E663" s="18">
        <v>15007</v>
      </c>
      <c r="F663" s="24">
        <v>56176071.659999996</v>
      </c>
      <c r="G663" s="30">
        <v>6.81</v>
      </c>
      <c r="H663" s="30">
        <v>83.96</v>
      </c>
      <c r="I663" s="17">
        <v>44.71</v>
      </c>
      <c r="J663" s="17">
        <v>258.98</v>
      </c>
      <c r="K663" s="27">
        <v>59.6</v>
      </c>
      <c r="L663" s="17" t="s">
        <v>17</v>
      </c>
    </row>
    <row r="664" spans="1:12" x14ac:dyDescent="0.25">
      <c r="A664" s="12">
        <v>2022</v>
      </c>
      <c r="B664" s="12" t="s">
        <v>36</v>
      </c>
      <c r="C664" s="12" t="s">
        <v>31</v>
      </c>
      <c r="D664" s="12" t="s">
        <v>24</v>
      </c>
      <c r="E664" s="13">
        <v>55071</v>
      </c>
      <c r="F664" s="23">
        <v>52340365.75</v>
      </c>
      <c r="G664" s="29">
        <v>3.6</v>
      </c>
      <c r="H664" s="29">
        <v>55.45</v>
      </c>
      <c r="I664" s="12">
        <v>51.49</v>
      </c>
      <c r="J664" s="12">
        <v>279.27</v>
      </c>
      <c r="K664" s="26">
        <v>73.87</v>
      </c>
      <c r="L664" s="12" t="s">
        <v>27</v>
      </c>
    </row>
    <row r="665" spans="1:12" x14ac:dyDescent="0.25">
      <c r="A665" s="17">
        <v>2022</v>
      </c>
      <c r="B665" s="17" t="s">
        <v>37</v>
      </c>
      <c r="C665" s="17" t="s">
        <v>26</v>
      </c>
      <c r="D665" s="17" t="s">
        <v>24</v>
      </c>
      <c r="E665" s="18">
        <v>15691</v>
      </c>
      <c r="F665" s="24">
        <v>21823040.170000002</v>
      </c>
      <c r="G665" s="30">
        <v>3.07</v>
      </c>
      <c r="H665" s="30">
        <v>42.69</v>
      </c>
      <c r="I665" s="17">
        <v>42.69</v>
      </c>
      <c r="J665" s="17">
        <v>135.63</v>
      </c>
      <c r="K665" s="27">
        <v>72.27</v>
      </c>
      <c r="L665" s="17" t="s">
        <v>21</v>
      </c>
    </row>
    <row r="666" spans="1:12" x14ac:dyDescent="0.25">
      <c r="A666" s="12">
        <v>2022</v>
      </c>
      <c r="B666" s="12" t="s">
        <v>36</v>
      </c>
      <c r="C666" s="12" t="s">
        <v>18</v>
      </c>
      <c r="D666" s="12" t="s">
        <v>14</v>
      </c>
      <c r="E666" s="13">
        <v>35658</v>
      </c>
      <c r="F666" s="23">
        <v>14607494.42</v>
      </c>
      <c r="G666" s="29">
        <v>1.18</v>
      </c>
      <c r="H666" s="29">
        <v>33.54</v>
      </c>
      <c r="I666" s="12">
        <v>9.9600000000000009</v>
      </c>
      <c r="J666" s="12">
        <v>232.38</v>
      </c>
      <c r="K666" s="26">
        <v>66.959999999999994</v>
      </c>
      <c r="L666" s="12" t="s">
        <v>15</v>
      </c>
    </row>
    <row r="667" spans="1:12" x14ac:dyDescent="0.25">
      <c r="A667" s="17">
        <v>2022</v>
      </c>
      <c r="B667" s="17" t="s">
        <v>35</v>
      </c>
      <c r="C667" s="17" t="s">
        <v>32</v>
      </c>
      <c r="D667" s="17" t="s">
        <v>24</v>
      </c>
      <c r="E667" s="18">
        <v>58156</v>
      </c>
      <c r="F667" s="24">
        <v>45419753.700000003</v>
      </c>
      <c r="G667" s="30">
        <v>4.2799999999999896</v>
      </c>
      <c r="H667" s="30">
        <v>88.11</v>
      </c>
      <c r="I667" s="17">
        <v>44.95</v>
      </c>
      <c r="J667" s="17">
        <v>232.59</v>
      </c>
      <c r="K667" s="27">
        <v>86.74</v>
      </c>
      <c r="L667" s="17" t="s">
        <v>19</v>
      </c>
    </row>
    <row r="668" spans="1:12" x14ac:dyDescent="0.25">
      <c r="A668" s="12">
        <v>2022</v>
      </c>
      <c r="B668" s="12" t="s">
        <v>12</v>
      </c>
      <c r="C668" s="12" t="s">
        <v>25</v>
      </c>
      <c r="D668" s="12" t="s">
        <v>24</v>
      </c>
      <c r="E668" s="13">
        <v>33814</v>
      </c>
      <c r="F668" s="23">
        <v>62983632.700000003</v>
      </c>
      <c r="G668" s="29">
        <v>4.5599999999999996</v>
      </c>
      <c r="H668" s="29">
        <v>57.41</v>
      </c>
      <c r="I668" s="12">
        <v>21.53</v>
      </c>
      <c r="J668" s="12">
        <v>170.67</v>
      </c>
      <c r="K668" s="26">
        <v>72.61</v>
      </c>
      <c r="L668" s="12" t="s">
        <v>27</v>
      </c>
    </row>
    <row r="669" spans="1:12" x14ac:dyDescent="0.25">
      <c r="A669" s="17">
        <v>2022</v>
      </c>
      <c r="B669" s="17" t="s">
        <v>35</v>
      </c>
      <c r="C669" s="17" t="s">
        <v>26</v>
      </c>
      <c r="D669" s="17" t="s">
        <v>24</v>
      </c>
      <c r="E669" s="18">
        <v>10585</v>
      </c>
      <c r="F669" s="24">
        <v>29685804.23</v>
      </c>
      <c r="G669" s="30">
        <v>3.51</v>
      </c>
      <c r="H669" s="30">
        <v>93.42</v>
      </c>
      <c r="I669" s="17">
        <v>38.630000000000003</v>
      </c>
      <c r="J669" s="17">
        <v>171.64</v>
      </c>
      <c r="K669" s="27">
        <v>87.93</v>
      </c>
      <c r="L669" s="17" t="s">
        <v>27</v>
      </c>
    </row>
    <row r="670" spans="1:12" x14ac:dyDescent="0.25">
      <c r="A670" s="12">
        <v>2022</v>
      </c>
      <c r="B670" s="12" t="s">
        <v>37</v>
      </c>
      <c r="C670" s="12" t="s">
        <v>30</v>
      </c>
      <c r="D670" s="12" t="s">
        <v>24</v>
      </c>
      <c r="E670" s="13">
        <v>47629</v>
      </c>
      <c r="F670" s="23">
        <v>40258147.689999998</v>
      </c>
      <c r="G670" s="29">
        <v>2.59</v>
      </c>
      <c r="H670" s="29">
        <v>62.4</v>
      </c>
      <c r="I670" s="12">
        <v>46.2</v>
      </c>
      <c r="J670" s="12">
        <v>174.55</v>
      </c>
      <c r="K670" s="26">
        <v>88.86</v>
      </c>
      <c r="L670" s="12" t="s">
        <v>17</v>
      </c>
    </row>
    <row r="671" spans="1:12" x14ac:dyDescent="0.25">
      <c r="A671" s="17">
        <v>2022</v>
      </c>
      <c r="B671" s="17" t="s">
        <v>35</v>
      </c>
      <c r="C671" s="17" t="s">
        <v>30</v>
      </c>
      <c r="D671" s="17" t="s">
        <v>24</v>
      </c>
      <c r="E671" s="18">
        <v>17217</v>
      </c>
      <c r="F671" s="24">
        <v>31929959.75</v>
      </c>
      <c r="G671" s="30">
        <v>3.68</v>
      </c>
      <c r="H671" s="30">
        <v>41.36</v>
      </c>
      <c r="I671" s="17">
        <v>32</v>
      </c>
      <c r="J671" s="17">
        <v>291.72000000000003</v>
      </c>
      <c r="K671" s="27">
        <v>45.78</v>
      </c>
      <c r="L671" s="17" t="s">
        <v>19</v>
      </c>
    </row>
    <row r="672" spans="1:12" x14ac:dyDescent="0.25">
      <c r="A672" s="12">
        <v>2022</v>
      </c>
      <c r="B672" s="12" t="s">
        <v>36</v>
      </c>
      <c r="C672" s="12" t="s">
        <v>30</v>
      </c>
      <c r="D672" s="12" t="s">
        <v>24</v>
      </c>
      <c r="E672" s="13">
        <v>16005</v>
      </c>
      <c r="F672" s="23">
        <v>41833223.630000003</v>
      </c>
      <c r="G672" s="29">
        <v>6.71</v>
      </c>
      <c r="H672" s="29">
        <v>88.73</v>
      </c>
      <c r="I672" s="12">
        <v>39.93</v>
      </c>
      <c r="J672" s="12">
        <v>281.7</v>
      </c>
      <c r="K672" s="26">
        <v>86.82</v>
      </c>
      <c r="L672" s="12" t="s">
        <v>19</v>
      </c>
    </row>
    <row r="673" spans="1:12" x14ac:dyDescent="0.25">
      <c r="A673" s="17">
        <v>2022</v>
      </c>
      <c r="B673" s="17" t="s">
        <v>35</v>
      </c>
      <c r="C673" s="17" t="s">
        <v>23</v>
      </c>
      <c r="D673" s="17" t="s">
        <v>24</v>
      </c>
      <c r="E673" s="18">
        <v>46798</v>
      </c>
      <c r="F673" s="24">
        <v>34010964.590000004</v>
      </c>
      <c r="G673" s="30">
        <v>2.84</v>
      </c>
      <c r="H673" s="30">
        <v>95.15</v>
      </c>
      <c r="I673" s="17">
        <v>47.23</v>
      </c>
      <c r="J673" s="17">
        <v>287.88</v>
      </c>
      <c r="K673" s="27">
        <v>87.65</v>
      </c>
      <c r="L673" s="17" t="s">
        <v>19</v>
      </c>
    </row>
    <row r="674" spans="1:12" x14ac:dyDescent="0.25">
      <c r="A674" s="12">
        <v>2022</v>
      </c>
      <c r="B674" s="12" t="s">
        <v>12</v>
      </c>
      <c r="C674" s="12" t="s">
        <v>31</v>
      </c>
      <c r="D674" s="12" t="s">
        <v>24</v>
      </c>
      <c r="E674" s="13">
        <v>34677</v>
      </c>
      <c r="F674" s="23">
        <v>15661456.58</v>
      </c>
      <c r="G674" s="29">
        <v>6.11</v>
      </c>
      <c r="H674" s="29">
        <v>101.07</v>
      </c>
      <c r="I674" s="12">
        <v>48.06</v>
      </c>
      <c r="J674" s="12">
        <v>165.76</v>
      </c>
      <c r="K674" s="26">
        <v>55.31</v>
      </c>
      <c r="L674" s="12" t="s">
        <v>17</v>
      </c>
    </row>
    <row r="675" spans="1:12" x14ac:dyDescent="0.25">
      <c r="A675" s="17">
        <v>2022</v>
      </c>
      <c r="B675" s="17" t="s">
        <v>37</v>
      </c>
      <c r="C675" s="17" t="s">
        <v>16</v>
      </c>
      <c r="D675" s="17" t="s">
        <v>14</v>
      </c>
      <c r="E675" s="18">
        <v>16902</v>
      </c>
      <c r="F675" s="24">
        <v>45919818.68</v>
      </c>
      <c r="G675" s="30">
        <v>-0.25</v>
      </c>
      <c r="H675" s="30">
        <v>68.67</v>
      </c>
      <c r="I675" s="17">
        <v>2.5299999999999998</v>
      </c>
      <c r="J675" s="17">
        <v>66.34</v>
      </c>
      <c r="K675" s="27">
        <v>47.23</v>
      </c>
      <c r="L675" s="17" t="s">
        <v>15</v>
      </c>
    </row>
    <row r="676" spans="1:12" x14ac:dyDescent="0.25">
      <c r="A676" s="12">
        <v>2022</v>
      </c>
      <c r="B676" s="12" t="s">
        <v>37</v>
      </c>
      <c r="C676" s="12" t="s">
        <v>16</v>
      </c>
      <c r="D676" s="12" t="s">
        <v>14</v>
      </c>
      <c r="E676" s="13">
        <v>16902</v>
      </c>
      <c r="F676" s="23">
        <v>45919818.68</v>
      </c>
      <c r="G676" s="29">
        <v>-0.25</v>
      </c>
      <c r="H676" s="29">
        <v>68.67</v>
      </c>
      <c r="I676" s="12">
        <v>2.5299999999999998</v>
      </c>
      <c r="J676" s="12">
        <v>66.34</v>
      </c>
      <c r="K676" s="26">
        <v>47.23</v>
      </c>
      <c r="L676" s="12" t="s">
        <v>15</v>
      </c>
    </row>
    <row r="677" spans="1:12" x14ac:dyDescent="0.25">
      <c r="A677" s="17">
        <v>2022</v>
      </c>
      <c r="B677" s="17" t="s">
        <v>35</v>
      </c>
      <c r="C677" s="17" t="s">
        <v>26</v>
      </c>
      <c r="D677" s="17" t="s">
        <v>24</v>
      </c>
      <c r="E677" s="18">
        <v>10585</v>
      </c>
      <c r="F677" s="24">
        <v>29685804.23</v>
      </c>
      <c r="G677" s="30">
        <v>3.51</v>
      </c>
      <c r="H677" s="30">
        <v>93.42</v>
      </c>
      <c r="I677" s="17">
        <v>38.630000000000003</v>
      </c>
      <c r="J677" s="17">
        <v>171.64</v>
      </c>
      <c r="K677" s="27">
        <v>87.93</v>
      </c>
      <c r="L677" s="17" t="s">
        <v>27</v>
      </c>
    </row>
    <row r="678" spans="1:12" x14ac:dyDescent="0.25">
      <c r="A678" s="12">
        <v>2022</v>
      </c>
      <c r="B678" s="12" t="s">
        <v>35</v>
      </c>
      <c r="C678" s="12" t="s">
        <v>23</v>
      </c>
      <c r="D678" s="12" t="s">
        <v>24</v>
      </c>
      <c r="E678" s="13">
        <v>46798</v>
      </c>
      <c r="F678" s="23">
        <v>34010964.590000004</v>
      </c>
      <c r="G678" s="29">
        <v>2.84</v>
      </c>
      <c r="H678" s="29">
        <v>95.15</v>
      </c>
      <c r="I678" s="12">
        <v>47.23</v>
      </c>
      <c r="J678" s="12">
        <v>287.88</v>
      </c>
      <c r="K678" s="26">
        <v>87.65</v>
      </c>
      <c r="L678" s="12" t="s">
        <v>19</v>
      </c>
    </row>
    <row r="679" spans="1:12" x14ac:dyDescent="0.25">
      <c r="A679" s="17">
        <v>2022</v>
      </c>
      <c r="B679" s="17" t="s">
        <v>35</v>
      </c>
      <c r="C679" s="17" t="s">
        <v>22</v>
      </c>
      <c r="D679" s="17" t="s">
        <v>14</v>
      </c>
      <c r="E679" s="18">
        <v>33806</v>
      </c>
      <c r="F679" s="24">
        <v>23699378.708999999</v>
      </c>
      <c r="G679" s="30">
        <v>-0.23</v>
      </c>
      <c r="H679" s="30">
        <v>77.31</v>
      </c>
      <c r="I679" s="17">
        <v>47.51</v>
      </c>
      <c r="J679" s="17">
        <v>129.69999999999999</v>
      </c>
      <c r="K679" s="27">
        <v>78.41</v>
      </c>
      <c r="L679" s="17" t="s">
        <v>21</v>
      </c>
    </row>
    <row r="680" spans="1:12" x14ac:dyDescent="0.25">
      <c r="A680" s="12">
        <v>2022</v>
      </c>
      <c r="B680" s="12" t="s">
        <v>12</v>
      </c>
      <c r="C680" s="12" t="s">
        <v>13</v>
      </c>
      <c r="D680" s="12" t="s">
        <v>14</v>
      </c>
      <c r="E680" s="13">
        <v>23678</v>
      </c>
      <c r="F680" s="23">
        <v>23302026.23</v>
      </c>
      <c r="G680" s="29">
        <v>0.57999999999999996</v>
      </c>
      <c r="H680" s="29">
        <v>45.61</v>
      </c>
      <c r="I680" s="12">
        <v>43.79</v>
      </c>
      <c r="J680" s="12">
        <v>156.56</v>
      </c>
      <c r="K680" s="26">
        <v>72.06</v>
      </c>
      <c r="L680" s="12" t="s">
        <v>27</v>
      </c>
    </row>
    <row r="681" spans="1:12" x14ac:dyDescent="0.25">
      <c r="A681" s="17">
        <v>2023</v>
      </c>
      <c r="B681" s="17" t="s">
        <v>12</v>
      </c>
      <c r="C681" s="17" t="s">
        <v>13</v>
      </c>
      <c r="D681" s="17" t="s">
        <v>14</v>
      </c>
      <c r="E681" s="18">
        <v>40947</v>
      </c>
      <c r="F681" s="24">
        <v>29431350.050000001</v>
      </c>
      <c r="G681" s="30">
        <v>2.29</v>
      </c>
      <c r="H681" s="30">
        <v>31.64</v>
      </c>
      <c r="I681" s="17">
        <v>20.82</v>
      </c>
      <c r="J681" s="17">
        <v>272.01</v>
      </c>
      <c r="K681" s="27">
        <v>80.790000000000006</v>
      </c>
      <c r="L681" s="17" t="s">
        <v>27</v>
      </c>
    </row>
    <row r="682" spans="1:12" x14ac:dyDescent="0.25">
      <c r="A682" s="12">
        <v>2023</v>
      </c>
      <c r="B682" s="12" t="s">
        <v>12</v>
      </c>
      <c r="C682" s="12" t="s">
        <v>16</v>
      </c>
      <c r="D682" s="12" t="s">
        <v>14</v>
      </c>
      <c r="E682" s="13">
        <v>14664</v>
      </c>
      <c r="F682" s="23">
        <v>15195950.99</v>
      </c>
      <c r="G682" s="29">
        <v>1.66</v>
      </c>
      <c r="H682" s="29">
        <v>62.66</v>
      </c>
      <c r="I682" s="12">
        <v>1.47</v>
      </c>
      <c r="J682" s="12">
        <v>171.98</v>
      </c>
      <c r="K682" s="26">
        <v>74.11</v>
      </c>
      <c r="L682" s="12" t="s">
        <v>21</v>
      </c>
    </row>
    <row r="683" spans="1:12" x14ac:dyDescent="0.25">
      <c r="A683" s="17">
        <v>2023</v>
      </c>
      <c r="B683" s="17" t="s">
        <v>12</v>
      </c>
      <c r="C683" s="17" t="s">
        <v>18</v>
      </c>
      <c r="D683" s="17" t="s">
        <v>14</v>
      </c>
      <c r="E683" s="18">
        <v>43817</v>
      </c>
      <c r="F683" s="24">
        <v>24176526.140000001</v>
      </c>
      <c r="G683" s="30">
        <v>2.4500000000000002</v>
      </c>
      <c r="H683" s="30">
        <v>48.62</v>
      </c>
      <c r="I683" s="17">
        <v>20.28</v>
      </c>
      <c r="J683" s="17">
        <v>175.27</v>
      </c>
      <c r="K683" s="27">
        <v>73.89</v>
      </c>
      <c r="L683" s="17" t="s">
        <v>27</v>
      </c>
    </row>
    <row r="684" spans="1:12" x14ac:dyDescent="0.25">
      <c r="A684" s="12">
        <v>2023</v>
      </c>
      <c r="B684" s="12" t="s">
        <v>12</v>
      </c>
      <c r="C684" s="12" t="s">
        <v>20</v>
      </c>
      <c r="D684" s="12" t="s">
        <v>14</v>
      </c>
      <c r="E684" s="13">
        <v>41459</v>
      </c>
      <c r="F684" s="23">
        <v>13687954.880000001</v>
      </c>
      <c r="G684" s="29">
        <v>-0.11</v>
      </c>
      <c r="H684" s="29">
        <v>62.18</v>
      </c>
      <c r="I684" s="12">
        <v>11.77</v>
      </c>
      <c r="J684" s="12">
        <v>287.5</v>
      </c>
      <c r="K684" s="26">
        <v>41.54</v>
      </c>
      <c r="L684" s="12" t="s">
        <v>17</v>
      </c>
    </row>
    <row r="685" spans="1:12" x14ac:dyDescent="0.25">
      <c r="A685" s="17">
        <v>2023</v>
      </c>
      <c r="B685" s="17" t="s">
        <v>12</v>
      </c>
      <c r="C685" s="17" t="s">
        <v>22</v>
      </c>
      <c r="D685" s="17" t="s">
        <v>14</v>
      </c>
      <c r="E685" s="18">
        <v>32918</v>
      </c>
      <c r="F685" s="24">
        <v>22481075.41</v>
      </c>
      <c r="G685" s="30">
        <v>1.86</v>
      </c>
      <c r="H685" s="30">
        <v>81.72</v>
      </c>
      <c r="I685" s="17">
        <v>33.4</v>
      </c>
      <c r="J685" s="17">
        <v>108.49</v>
      </c>
      <c r="K685" s="27">
        <v>65.459999999999994</v>
      </c>
      <c r="L685" s="17" t="s">
        <v>21</v>
      </c>
    </row>
    <row r="686" spans="1:12" x14ac:dyDescent="0.25">
      <c r="A686" s="12">
        <v>2023</v>
      </c>
      <c r="B686" s="12" t="s">
        <v>12</v>
      </c>
      <c r="C686" s="12" t="s">
        <v>23</v>
      </c>
      <c r="D686" s="12" t="s">
        <v>24</v>
      </c>
      <c r="E686" s="13">
        <v>42266</v>
      </c>
      <c r="F686" s="23">
        <v>25950100.260000002</v>
      </c>
      <c r="G686" s="29">
        <v>6.02</v>
      </c>
      <c r="H686" s="29">
        <v>55.39</v>
      </c>
      <c r="I686" s="12">
        <v>39.53</v>
      </c>
      <c r="J686" s="12">
        <v>262.25</v>
      </c>
      <c r="K686" s="26">
        <v>45.63</v>
      </c>
      <c r="L686" s="12" t="s">
        <v>15</v>
      </c>
    </row>
    <row r="687" spans="1:12" x14ac:dyDescent="0.25">
      <c r="A687" s="17">
        <v>2023</v>
      </c>
      <c r="B687" s="17" t="s">
        <v>12</v>
      </c>
      <c r="C687" s="17" t="s">
        <v>25</v>
      </c>
      <c r="D687" s="17" t="s">
        <v>24</v>
      </c>
      <c r="E687" s="18">
        <v>35503</v>
      </c>
      <c r="F687" s="24">
        <v>31844795.27</v>
      </c>
      <c r="G687" s="30">
        <v>3.87</v>
      </c>
      <c r="H687" s="30">
        <v>85.47</v>
      </c>
      <c r="I687" s="17">
        <v>48.17</v>
      </c>
      <c r="J687" s="17">
        <v>262.83999999999997</v>
      </c>
      <c r="K687" s="27">
        <v>68</v>
      </c>
      <c r="L687" s="17" t="s">
        <v>15</v>
      </c>
    </row>
    <row r="688" spans="1:12" x14ac:dyDescent="0.25">
      <c r="A688" s="12">
        <v>2023</v>
      </c>
      <c r="B688" s="12" t="s">
        <v>12</v>
      </c>
      <c r="C688" s="12" t="s">
        <v>26</v>
      </c>
      <c r="D688" s="12" t="s">
        <v>24</v>
      </c>
      <c r="E688" s="13">
        <v>47694</v>
      </c>
      <c r="F688" s="23">
        <v>18903891.32</v>
      </c>
      <c r="G688" s="29">
        <v>5.9</v>
      </c>
      <c r="H688" s="29">
        <v>62.48</v>
      </c>
      <c r="I688" s="12">
        <v>29.12</v>
      </c>
      <c r="J688" s="12">
        <v>227.77</v>
      </c>
      <c r="K688" s="26">
        <v>87.07</v>
      </c>
      <c r="L688" s="12" t="s">
        <v>27</v>
      </c>
    </row>
    <row r="689" spans="1:12" x14ac:dyDescent="0.25">
      <c r="A689" s="17">
        <v>2023</v>
      </c>
      <c r="B689" s="17" t="s">
        <v>12</v>
      </c>
      <c r="C689" s="17" t="s">
        <v>28</v>
      </c>
      <c r="D689" s="17" t="s">
        <v>24</v>
      </c>
      <c r="E689" s="18">
        <v>36500</v>
      </c>
      <c r="F689" s="24">
        <v>11340925.859999999</v>
      </c>
      <c r="G689" s="30">
        <v>2.86</v>
      </c>
      <c r="H689" s="30">
        <v>98.22</v>
      </c>
      <c r="I689" s="17">
        <v>46.72</v>
      </c>
      <c r="J689" s="17">
        <v>177.9</v>
      </c>
      <c r="K689" s="27">
        <v>65.83</v>
      </c>
      <c r="L689" s="17" t="s">
        <v>15</v>
      </c>
    </row>
    <row r="690" spans="1:12" x14ac:dyDescent="0.25">
      <c r="A690" s="12">
        <v>2023</v>
      </c>
      <c r="B690" s="12" t="s">
        <v>12</v>
      </c>
      <c r="C690" s="12" t="s">
        <v>29</v>
      </c>
      <c r="D690" s="12" t="s">
        <v>24</v>
      </c>
      <c r="E690" s="13">
        <v>31535</v>
      </c>
      <c r="F690" s="23">
        <v>75369161.280000001</v>
      </c>
      <c r="G690" s="29">
        <v>4.8499999999999996</v>
      </c>
      <c r="H690" s="29">
        <v>103.92</v>
      </c>
      <c r="I690" s="12">
        <v>6.42</v>
      </c>
      <c r="J690" s="12">
        <v>256.02999999999997</v>
      </c>
      <c r="K690" s="26">
        <v>54.7</v>
      </c>
      <c r="L690" s="12" t="s">
        <v>15</v>
      </c>
    </row>
    <row r="691" spans="1:12" x14ac:dyDescent="0.25">
      <c r="A691" s="17">
        <v>2023</v>
      </c>
      <c r="B691" s="17" t="s">
        <v>12</v>
      </c>
      <c r="C691" s="17" t="s">
        <v>30</v>
      </c>
      <c r="D691" s="17" t="s">
        <v>24</v>
      </c>
      <c r="E691" s="18">
        <v>25428</v>
      </c>
      <c r="F691" s="24">
        <v>41184238.579999998</v>
      </c>
      <c r="G691" s="30">
        <v>4.9000000000000004</v>
      </c>
      <c r="H691" s="30">
        <v>78.09</v>
      </c>
      <c r="I691" s="17">
        <v>24.18</v>
      </c>
      <c r="J691" s="17">
        <v>262.01</v>
      </c>
      <c r="K691" s="27">
        <v>54.8</v>
      </c>
      <c r="L691" s="17" t="s">
        <v>21</v>
      </c>
    </row>
    <row r="692" spans="1:12" x14ac:dyDescent="0.25">
      <c r="A692" s="12">
        <v>2023</v>
      </c>
      <c r="B692" s="12" t="s">
        <v>12</v>
      </c>
      <c r="C692" s="12" t="s">
        <v>31</v>
      </c>
      <c r="D692" s="12" t="s">
        <v>24</v>
      </c>
      <c r="E692" s="13">
        <v>58459</v>
      </c>
      <c r="F692" s="23">
        <v>6197608.4639999997</v>
      </c>
      <c r="G692" s="29">
        <v>5.29</v>
      </c>
      <c r="H692" s="29">
        <v>65.56</v>
      </c>
      <c r="I692" s="12">
        <v>52.82</v>
      </c>
      <c r="J692" s="12">
        <v>231.91</v>
      </c>
      <c r="K692" s="26">
        <v>69.150000000000006</v>
      </c>
      <c r="L692" s="12" t="s">
        <v>19</v>
      </c>
    </row>
    <row r="693" spans="1:12" x14ac:dyDescent="0.25">
      <c r="A693" s="17">
        <v>2023</v>
      </c>
      <c r="B693" s="17" t="s">
        <v>12</v>
      </c>
      <c r="C693" s="17" t="s">
        <v>32</v>
      </c>
      <c r="D693" s="17" t="s">
        <v>24</v>
      </c>
      <c r="E693" s="18">
        <v>39916</v>
      </c>
      <c r="F693" s="24">
        <v>30964782.02</v>
      </c>
      <c r="G693" s="30">
        <v>5.5299999999999896</v>
      </c>
      <c r="H693" s="30">
        <v>47.84</v>
      </c>
      <c r="I693" s="17">
        <v>15.23</v>
      </c>
      <c r="J693" s="17">
        <v>260.8</v>
      </c>
      <c r="K693" s="27">
        <v>82.88</v>
      </c>
      <c r="L693" s="17" t="s">
        <v>19</v>
      </c>
    </row>
    <row r="694" spans="1:12" x14ac:dyDescent="0.25">
      <c r="A694" s="12">
        <v>2023</v>
      </c>
      <c r="B694" s="12" t="s">
        <v>12</v>
      </c>
      <c r="C694" s="12" t="s">
        <v>33</v>
      </c>
      <c r="D694" s="12" t="s">
        <v>24</v>
      </c>
      <c r="E694" s="13">
        <v>56785</v>
      </c>
      <c r="F694" s="23">
        <v>37101918.729999997</v>
      </c>
      <c r="G694" s="29">
        <v>4.21</v>
      </c>
      <c r="H694" s="29">
        <v>67.62</v>
      </c>
      <c r="I694" s="12">
        <v>43.79</v>
      </c>
      <c r="J694" s="12">
        <v>240.21</v>
      </c>
      <c r="K694" s="26">
        <v>75.959999999999994</v>
      </c>
      <c r="L694" s="12" t="s">
        <v>15</v>
      </c>
    </row>
    <row r="695" spans="1:12" x14ac:dyDescent="0.25">
      <c r="A695" s="17">
        <v>2023</v>
      </c>
      <c r="B695" s="17" t="s">
        <v>12</v>
      </c>
      <c r="C695" s="17" t="s">
        <v>34</v>
      </c>
      <c r="D695" s="17" t="s">
        <v>24</v>
      </c>
      <c r="E695" s="18">
        <v>11658</v>
      </c>
      <c r="F695" s="24">
        <v>14130688.68</v>
      </c>
      <c r="G695" s="30">
        <v>4.8099999999999996</v>
      </c>
      <c r="H695" s="30">
        <v>64.150000000000006</v>
      </c>
      <c r="I695" s="17">
        <v>50.51</v>
      </c>
      <c r="J695" s="17">
        <v>117.92</v>
      </c>
      <c r="K695" s="27">
        <v>62.56</v>
      </c>
      <c r="L695" s="17" t="s">
        <v>27</v>
      </c>
    </row>
    <row r="696" spans="1:12" x14ac:dyDescent="0.25">
      <c r="A696" s="12">
        <v>2023</v>
      </c>
      <c r="B696" s="12" t="s">
        <v>35</v>
      </c>
      <c r="C696" s="12" t="s">
        <v>13</v>
      </c>
      <c r="D696" s="12" t="s">
        <v>14</v>
      </c>
      <c r="E696" s="13">
        <v>28445</v>
      </c>
      <c r="F696" s="23">
        <v>23846107.199999999</v>
      </c>
      <c r="G696" s="29">
        <v>3.99</v>
      </c>
      <c r="H696" s="29">
        <v>46.8</v>
      </c>
      <c r="I696" s="12">
        <v>37.909999999999997</v>
      </c>
      <c r="J696" s="12">
        <v>175.6</v>
      </c>
      <c r="K696" s="26">
        <v>66.599999999999994</v>
      </c>
      <c r="L696" s="12" t="s">
        <v>27</v>
      </c>
    </row>
    <row r="697" spans="1:12" x14ac:dyDescent="0.25">
      <c r="A697" s="17">
        <v>2023</v>
      </c>
      <c r="B697" s="17" t="s">
        <v>35</v>
      </c>
      <c r="C697" s="17" t="s">
        <v>16</v>
      </c>
      <c r="D697" s="17" t="s">
        <v>14</v>
      </c>
      <c r="E697" s="18">
        <v>12074</v>
      </c>
      <c r="F697" s="24">
        <v>10953765.789999999</v>
      </c>
      <c r="G697" s="30">
        <v>1.67</v>
      </c>
      <c r="H697" s="30">
        <v>65.23</v>
      </c>
      <c r="I697" s="17">
        <v>47.14</v>
      </c>
      <c r="J697" s="17">
        <v>106.03</v>
      </c>
      <c r="K697" s="27">
        <v>70.52</v>
      </c>
      <c r="L697" s="17" t="s">
        <v>27</v>
      </c>
    </row>
    <row r="698" spans="1:12" x14ac:dyDescent="0.25">
      <c r="A698" s="12">
        <v>2023</v>
      </c>
      <c r="B698" s="12" t="s">
        <v>35</v>
      </c>
      <c r="C698" s="12" t="s">
        <v>18</v>
      </c>
      <c r="D698" s="12" t="s">
        <v>14</v>
      </c>
      <c r="E698" s="13">
        <v>24787</v>
      </c>
      <c r="F698" s="23">
        <v>11158722.59</v>
      </c>
      <c r="G698" s="29">
        <v>2.93</v>
      </c>
      <c r="H698" s="29">
        <v>73.150000000000006</v>
      </c>
      <c r="I698" s="12">
        <v>29.28</v>
      </c>
      <c r="J698" s="12">
        <v>138</v>
      </c>
      <c r="K698" s="26">
        <v>68.94</v>
      </c>
      <c r="L698" s="12" t="s">
        <v>27</v>
      </c>
    </row>
    <row r="699" spans="1:12" x14ac:dyDescent="0.25">
      <c r="A699" s="17">
        <v>2023</v>
      </c>
      <c r="B699" s="17" t="s">
        <v>35</v>
      </c>
      <c r="C699" s="17" t="s">
        <v>20</v>
      </c>
      <c r="D699" s="17" t="s">
        <v>14</v>
      </c>
      <c r="E699" s="18">
        <v>40418</v>
      </c>
      <c r="F699" s="24">
        <v>32030342.59</v>
      </c>
      <c r="G699" s="30">
        <v>1.77999999999999</v>
      </c>
      <c r="H699" s="30">
        <v>61.9</v>
      </c>
      <c r="I699" s="17">
        <v>24.69</v>
      </c>
      <c r="J699" s="17">
        <v>160.97999999999999</v>
      </c>
      <c r="K699" s="27">
        <v>45.26</v>
      </c>
      <c r="L699" s="17" t="s">
        <v>21</v>
      </c>
    </row>
    <row r="700" spans="1:12" x14ac:dyDescent="0.25">
      <c r="A700" s="12">
        <v>2023</v>
      </c>
      <c r="B700" s="12" t="s">
        <v>35</v>
      </c>
      <c r="C700" s="12" t="s">
        <v>22</v>
      </c>
      <c r="D700" s="12" t="s">
        <v>14</v>
      </c>
      <c r="E700" s="13">
        <v>34655</v>
      </c>
      <c r="F700" s="23">
        <v>5500615.1399999997</v>
      </c>
      <c r="G700" s="29">
        <v>0</v>
      </c>
      <c r="H700" s="29">
        <v>36.06</v>
      </c>
      <c r="I700" s="12">
        <v>47.06</v>
      </c>
      <c r="J700" s="12">
        <v>75.69</v>
      </c>
      <c r="K700" s="26">
        <v>57.66</v>
      </c>
      <c r="L700" s="12" t="s">
        <v>19</v>
      </c>
    </row>
    <row r="701" spans="1:12" x14ac:dyDescent="0.25">
      <c r="A701" s="17">
        <v>2023</v>
      </c>
      <c r="B701" s="17" t="s">
        <v>35</v>
      </c>
      <c r="C701" s="17" t="s">
        <v>23</v>
      </c>
      <c r="D701" s="17" t="s">
        <v>24</v>
      </c>
      <c r="E701" s="18">
        <v>18720</v>
      </c>
      <c r="F701" s="24">
        <v>45175723.359999999</v>
      </c>
      <c r="G701" s="30">
        <v>6.09</v>
      </c>
      <c r="H701" s="30">
        <v>77.17</v>
      </c>
      <c r="I701" s="17">
        <v>13.16</v>
      </c>
      <c r="J701" s="17">
        <v>95.71</v>
      </c>
      <c r="K701" s="27">
        <v>54.69</v>
      </c>
      <c r="L701" s="17" t="s">
        <v>17</v>
      </c>
    </row>
    <row r="702" spans="1:12" x14ac:dyDescent="0.25">
      <c r="A702" s="12">
        <v>2023</v>
      </c>
      <c r="B702" s="12" t="s">
        <v>35</v>
      </c>
      <c r="C702" s="12" t="s">
        <v>25</v>
      </c>
      <c r="D702" s="12" t="s">
        <v>24</v>
      </c>
      <c r="E702" s="13">
        <v>7111</v>
      </c>
      <c r="F702" s="23">
        <v>38171299.740000002</v>
      </c>
      <c r="G702" s="29">
        <v>4.9000000000000004</v>
      </c>
      <c r="H702" s="29">
        <v>94.2</v>
      </c>
      <c r="I702" s="12">
        <v>53.26</v>
      </c>
      <c r="J702" s="12">
        <v>269.75</v>
      </c>
      <c r="K702" s="26">
        <v>52.92</v>
      </c>
      <c r="L702" s="12" t="s">
        <v>15</v>
      </c>
    </row>
    <row r="703" spans="1:12" x14ac:dyDescent="0.25">
      <c r="A703" s="17">
        <v>2023</v>
      </c>
      <c r="B703" s="17" t="s">
        <v>35</v>
      </c>
      <c r="C703" s="17" t="s">
        <v>26</v>
      </c>
      <c r="D703" s="17" t="s">
        <v>24</v>
      </c>
      <c r="E703" s="18">
        <v>22044</v>
      </c>
      <c r="F703" s="24">
        <v>31012290.23</v>
      </c>
      <c r="G703" s="30">
        <v>5.12</v>
      </c>
      <c r="H703" s="30">
        <v>79.73</v>
      </c>
      <c r="I703" s="17">
        <v>37.979999999999997</v>
      </c>
      <c r="J703" s="17">
        <v>63.5</v>
      </c>
      <c r="K703" s="27">
        <v>81.510000000000005</v>
      </c>
      <c r="L703" s="17" t="s">
        <v>17</v>
      </c>
    </row>
    <row r="704" spans="1:12" x14ac:dyDescent="0.25">
      <c r="A704" s="12">
        <v>2023</v>
      </c>
      <c r="B704" s="12" t="s">
        <v>35</v>
      </c>
      <c r="C704" s="12" t="s">
        <v>28</v>
      </c>
      <c r="D704" s="12" t="s">
        <v>24</v>
      </c>
      <c r="E704" s="13">
        <v>14004</v>
      </c>
      <c r="F704" s="23">
        <v>7989841.6199999899</v>
      </c>
      <c r="G704" s="29">
        <v>3.37</v>
      </c>
      <c r="H704" s="29">
        <v>86.05</v>
      </c>
      <c r="I704" s="12">
        <v>18.510000000000002</v>
      </c>
      <c r="J704" s="12">
        <v>249.43</v>
      </c>
      <c r="K704" s="26">
        <v>45.62</v>
      </c>
      <c r="L704" s="12" t="s">
        <v>21</v>
      </c>
    </row>
    <row r="705" spans="1:12" x14ac:dyDescent="0.25">
      <c r="A705" s="17">
        <v>2023</v>
      </c>
      <c r="B705" s="17" t="s">
        <v>35</v>
      </c>
      <c r="C705" s="17" t="s">
        <v>29</v>
      </c>
      <c r="D705" s="17" t="s">
        <v>24</v>
      </c>
      <c r="E705" s="18">
        <v>55851</v>
      </c>
      <c r="F705" s="24">
        <v>19401460.379999999</v>
      </c>
      <c r="G705" s="30">
        <v>5.04</v>
      </c>
      <c r="H705" s="30">
        <v>98.87</v>
      </c>
      <c r="I705" s="17">
        <v>14.29</v>
      </c>
      <c r="J705" s="17">
        <v>187.41</v>
      </c>
      <c r="K705" s="27">
        <v>45.43</v>
      </c>
      <c r="L705" s="17" t="s">
        <v>17</v>
      </c>
    </row>
    <row r="706" spans="1:12" x14ac:dyDescent="0.25">
      <c r="A706" s="12">
        <v>2023</v>
      </c>
      <c r="B706" s="12" t="s">
        <v>35</v>
      </c>
      <c r="C706" s="12" t="s">
        <v>30</v>
      </c>
      <c r="D706" s="12" t="s">
        <v>24</v>
      </c>
      <c r="E706" s="13">
        <v>43275</v>
      </c>
      <c r="F706" s="23">
        <v>7555516.4280000003</v>
      </c>
      <c r="G706" s="29">
        <v>4.18</v>
      </c>
      <c r="H706" s="29">
        <v>44.77</v>
      </c>
      <c r="I706" s="12">
        <v>25.77</v>
      </c>
      <c r="J706" s="12">
        <v>214.9</v>
      </c>
      <c r="K706" s="26">
        <v>48.3</v>
      </c>
      <c r="L706" s="12" t="s">
        <v>17</v>
      </c>
    </row>
    <row r="707" spans="1:12" x14ac:dyDescent="0.25">
      <c r="A707" s="17">
        <v>2023</v>
      </c>
      <c r="B707" s="17" t="s">
        <v>35</v>
      </c>
      <c r="C707" s="17" t="s">
        <v>31</v>
      </c>
      <c r="D707" s="17" t="s">
        <v>24</v>
      </c>
      <c r="E707" s="18">
        <v>14970</v>
      </c>
      <c r="F707" s="24">
        <v>18515548.91</v>
      </c>
      <c r="G707" s="30">
        <v>6.32</v>
      </c>
      <c r="H707" s="30">
        <v>52.48</v>
      </c>
      <c r="I707" s="17">
        <v>25</v>
      </c>
      <c r="J707" s="17">
        <v>57.27</v>
      </c>
      <c r="K707" s="27">
        <v>51.12</v>
      </c>
      <c r="L707" s="17" t="s">
        <v>17</v>
      </c>
    </row>
    <row r="708" spans="1:12" x14ac:dyDescent="0.25">
      <c r="A708" s="12">
        <v>2023</v>
      </c>
      <c r="B708" s="12" t="s">
        <v>35</v>
      </c>
      <c r="C708" s="12" t="s">
        <v>32</v>
      </c>
      <c r="D708" s="12" t="s">
        <v>24</v>
      </c>
      <c r="E708" s="13">
        <v>37850</v>
      </c>
      <c r="F708" s="23">
        <v>11674638.720000001</v>
      </c>
      <c r="G708" s="29">
        <v>6.51</v>
      </c>
      <c r="H708" s="29">
        <v>65.650000000000006</v>
      </c>
      <c r="I708" s="12">
        <v>35.799999999999997</v>
      </c>
      <c r="J708" s="12">
        <v>210.17</v>
      </c>
      <c r="K708" s="26">
        <v>70.25</v>
      </c>
      <c r="L708" s="12" t="s">
        <v>19</v>
      </c>
    </row>
    <row r="709" spans="1:12" x14ac:dyDescent="0.25">
      <c r="A709" s="17">
        <v>2023</v>
      </c>
      <c r="B709" s="17" t="s">
        <v>35</v>
      </c>
      <c r="C709" s="17" t="s">
        <v>33</v>
      </c>
      <c r="D709" s="17" t="s">
        <v>24</v>
      </c>
      <c r="E709" s="18">
        <v>12105</v>
      </c>
      <c r="F709" s="24">
        <v>51838068.950000003</v>
      </c>
      <c r="G709" s="30">
        <v>5.2799999999999896</v>
      </c>
      <c r="H709" s="30">
        <v>77.760000000000005</v>
      </c>
      <c r="I709" s="17">
        <v>52.15</v>
      </c>
      <c r="J709" s="17">
        <v>51.12</v>
      </c>
      <c r="K709" s="27">
        <v>86.82</v>
      </c>
      <c r="L709" s="17" t="s">
        <v>17</v>
      </c>
    </row>
    <row r="710" spans="1:12" x14ac:dyDescent="0.25">
      <c r="A710" s="12">
        <v>2023</v>
      </c>
      <c r="B710" s="12" t="s">
        <v>35</v>
      </c>
      <c r="C710" s="12" t="s">
        <v>34</v>
      </c>
      <c r="D710" s="12" t="s">
        <v>24</v>
      </c>
      <c r="E710" s="13">
        <v>43400</v>
      </c>
      <c r="F710" s="23">
        <v>25193544.600000001</v>
      </c>
      <c r="G710" s="29">
        <v>2.97</v>
      </c>
      <c r="H710" s="29">
        <v>86.63</v>
      </c>
      <c r="I710" s="12">
        <v>52.81</v>
      </c>
      <c r="J710" s="12">
        <v>178.32</v>
      </c>
      <c r="K710" s="26">
        <v>45.09</v>
      </c>
      <c r="L710" s="12" t="s">
        <v>17</v>
      </c>
    </row>
    <row r="711" spans="1:12" x14ac:dyDescent="0.25">
      <c r="A711" s="17">
        <v>2023</v>
      </c>
      <c r="B711" s="17" t="s">
        <v>36</v>
      </c>
      <c r="C711" s="17" t="s">
        <v>13</v>
      </c>
      <c r="D711" s="17" t="s">
        <v>14</v>
      </c>
      <c r="E711" s="18">
        <v>45735</v>
      </c>
      <c r="F711" s="24">
        <v>2987436.3840000001</v>
      </c>
      <c r="G711" s="30">
        <v>0.26</v>
      </c>
      <c r="H711" s="30">
        <v>50.76</v>
      </c>
      <c r="I711" s="17">
        <v>9.67</v>
      </c>
      <c r="J711" s="17">
        <v>280.41000000000003</v>
      </c>
      <c r="K711" s="27">
        <v>64.86</v>
      </c>
      <c r="L711" s="17" t="s">
        <v>15</v>
      </c>
    </row>
    <row r="712" spans="1:12" x14ac:dyDescent="0.25">
      <c r="A712" s="12">
        <v>2023</v>
      </c>
      <c r="B712" s="12" t="s">
        <v>36</v>
      </c>
      <c r="C712" s="12" t="s">
        <v>16</v>
      </c>
      <c r="D712" s="12" t="s">
        <v>14</v>
      </c>
      <c r="E712" s="13">
        <v>14799</v>
      </c>
      <c r="F712" s="23">
        <v>4874859.7379999999</v>
      </c>
      <c r="G712" s="29">
        <v>3.39</v>
      </c>
      <c r="H712" s="29">
        <v>49.36</v>
      </c>
      <c r="I712" s="12">
        <v>15.579999999999901</v>
      </c>
      <c r="J712" s="12">
        <v>220.38</v>
      </c>
      <c r="K712" s="26">
        <v>51.94</v>
      </c>
      <c r="L712" s="12" t="s">
        <v>19</v>
      </c>
    </row>
    <row r="713" spans="1:12" x14ac:dyDescent="0.25">
      <c r="A713" s="17">
        <v>2023</v>
      </c>
      <c r="B713" s="17" t="s">
        <v>36</v>
      </c>
      <c r="C713" s="17" t="s">
        <v>18</v>
      </c>
      <c r="D713" s="17" t="s">
        <v>14</v>
      </c>
      <c r="E713" s="18">
        <v>42940</v>
      </c>
      <c r="F713" s="24">
        <v>4424999.4989999998</v>
      </c>
      <c r="G713" s="30">
        <v>0.59</v>
      </c>
      <c r="H713" s="30">
        <v>87.76</v>
      </c>
      <c r="I713" s="17">
        <v>46.41</v>
      </c>
      <c r="J713" s="17">
        <v>87.57</v>
      </c>
      <c r="K713" s="27">
        <v>83.22</v>
      </c>
      <c r="L713" s="17" t="s">
        <v>27</v>
      </c>
    </row>
    <row r="714" spans="1:12" x14ac:dyDescent="0.25">
      <c r="A714" s="12">
        <v>2023</v>
      </c>
      <c r="B714" s="12" t="s">
        <v>36</v>
      </c>
      <c r="C714" s="12" t="s">
        <v>20</v>
      </c>
      <c r="D714" s="12" t="s">
        <v>14</v>
      </c>
      <c r="E714" s="13">
        <v>46321</v>
      </c>
      <c r="F714" s="23">
        <v>12172734.050000001</v>
      </c>
      <c r="G714" s="29">
        <v>2.5</v>
      </c>
      <c r="H714" s="29">
        <v>44.49</v>
      </c>
      <c r="I714" s="12">
        <v>12.73</v>
      </c>
      <c r="J714" s="12">
        <v>238.14</v>
      </c>
      <c r="K714" s="26">
        <v>47.82</v>
      </c>
      <c r="L714" s="12" t="s">
        <v>27</v>
      </c>
    </row>
    <row r="715" spans="1:12" x14ac:dyDescent="0.25">
      <c r="A715" s="17">
        <v>2023</v>
      </c>
      <c r="B715" s="17" t="s">
        <v>36</v>
      </c>
      <c r="C715" s="17" t="s">
        <v>22</v>
      </c>
      <c r="D715" s="17" t="s">
        <v>14</v>
      </c>
      <c r="E715" s="18">
        <v>22101</v>
      </c>
      <c r="F715" s="24">
        <v>45898246.390000001</v>
      </c>
      <c r="G715" s="30">
        <v>0.35</v>
      </c>
      <c r="H715" s="30">
        <v>38.79</v>
      </c>
      <c r="I715" s="17">
        <v>27.92</v>
      </c>
      <c r="J715" s="17">
        <v>77.87</v>
      </c>
      <c r="K715" s="27">
        <v>49.98</v>
      </c>
      <c r="L715" s="17" t="s">
        <v>27</v>
      </c>
    </row>
    <row r="716" spans="1:12" x14ac:dyDescent="0.25">
      <c r="A716" s="12">
        <v>2023</v>
      </c>
      <c r="B716" s="12" t="s">
        <v>36</v>
      </c>
      <c r="C716" s="12" t="s">
        <v>23</v>
      </c>
      <c r="D716" s="12" t="s">
        <v>24</v>
      </c>
      <c r="E716" s="13">
        <v>18578</v>
      </c>
      <c r="F716" s="23">
        <v>35842354.880000003</v>
      </c>
      <c r="G716" s="29">
        <v>5.27</v>
      </c>
      <c r="H716" s="29">
        <v>41.64</v>
      </c>
      <c r="I716" s="12">
        <v>13.95</v>
      </c>
      <c r="J716" s="12">
        <v>192.01</v>
      </c>
      <c r="K716" s="26">
        <v>73.64</v>
      </c>
      <c r="L716" s="12" t="s">
        <v>21</v>
      </c>
    </row>
    <row r="717" spans="1:12" x14ac:dyDescent="0.25">
      <c r="A717" s="17">
        <v>2023</v>
      </c>
      <c r="B717" s="17" t="s">
        <v>36</v>
      </c>
      <c r="C717" s="17" t="s">
        <v>25</v>
      </c>
      <c r="D717" s="17" t="s">
        <v>24</v>
      </c>
      <c r="E717" s="18">
        <v>63804</v>
      </c>
      <c r="F717" s="24">
        <v>26099538.280000001</v>
      </c>
      <c r="G717" s="30">
        <v>2.5299999999999998</v>
      </c>
      <c r="H717" s="30">
        <v>49.54</v>
      </c>
      <c r="I717" s="17">
        <v>36.479999999999997</v>
      </c>
      <c r="J717" s="17">
        <v>168.21</v>
      </c>
      <c r="K717" s="27">
        <v>88.53</v>
      </c>
      <c r="L717" s="17" t="s">
        <v>21</v>
      </c>
    </row>
    <row r="718" spans="1:12" x14ac:dyDescent="0.25">
      <c r="A718" s="12">
        <v>2023</v>
      </c>
      <c r="B718" s="12" t="s">
        <v>36</v>
      </c>
      <c r="C718" s="12" t="s">
        <v>26</v>
      </c>
      <c r="D718" s="12" t="s">
        <v>24</v>
      </c>
      <c r="E718" s="13">
        <v>60353</v>
      </c>
      <c r="F718" s="23">
        <v>10771600.5239999</v>
      </c>
      <c r="G718" s="29">
        <v>3.43</v>
      </c>
      <c r="H718" s="29">
        <v>67.709999999999994</v>
      </c>
      <c r="I718" s="12">
        <v>35.68</v>
      </c>
      <c r="J718" s="12">
        <v>79.34</v>
      </c>
      <c r="K718" s="26">
        <v>58.28</v>
      </c>
      <c r="L718" s="12" t="s">
        <v>21</v>
      </c>
    </row>
    <row r="719" spans="1:12" x14ac:dyDescent="0.25">
      <c r="A719" s="17">
        <v>2023</v>
      </c>
      <c r="B719" s="17" t="s">
        <v>36</v>
      </c>
      <c r="C719" s="17" t="s">
        <v>28</v>
      </c>
      <c r="D719" s="17" t="s">
        <v>24</v>
      </c>
      <c r="E719" s="18">
        <v>56014</v>
      </c>
      <c r="F719" s="24">
        <v>38203293.829999998</v>
      </c>
      <c r="G719" s="30">
        <v>5.04</v>
      </c>
      <c r="H719" s="30">
        <v>92.55</v>
      </c>
      <c r="I719" s="17">
        <v>22.12</v>
      </c>
      <c r="J719" s="17">
        <v>50.37</v>
      </c>
      <c r="K719" s="27">
        <v>45.65</v>
      </c>
      <c r="L719" s="17" t="s">
        <v>15</v>
      </c>
    </row>
    <row r="720" spans="1:12" x14ac:dyDescent="0.25">
      <c r="A720" s="12">
        <v>2023</v>
      </c>
      <c r="B720" s="12" t="s">
        <v>36</v>
      </c>
      <c r="C720" s="12" t="s">
        <v>29</v>
      </c>
      <c r="D720" s="12" t="s">
        <v>24</v>
      </c>
      <c r="E720" s="13">
        <v>30009</v>
      </c>
      <c r="F720" s="23">
        <v>27935761.68</v>
      </c>
      <c r="G720" s="29">
        <v>5.49</v>
      </c>
      <c r="H720" s="29">
        <v>48.11</v>
      </c>
      <c r="I720" s="12">
        <v>22.61</v>
      </c>
      <c r="J720" s="12">
        <v>157</v>
      </c>
      <c r="K720" s="26">
        <v>94.16</v>
      </c>
      <c r="L720" s="12" t="s">
        <v>27</v>
      </c>
    </row>
    <row r="721" spans="1:12" x14ac:dyDescent="0.25">
      <c r="A721" s="17">
        <v>2023</v>
      </c>
      <c r="B721" s="17" t="s">
        <v>36</v>
      </c>
      <c r="C721" s="17" t="s">
        <v>30</v>
      </c>
      <c r="D721" s="17" t="s">
        <v>24</v>
      </c>
      <c r="E721" s="18">
        <v>11176</v>
      </c>
      <c r="F721" s="24">
        <v>41387013.969999999</v>
      </c>
      <c r="G721" s="30">
        <v>6.52</v>
      </c>
      <c r="H721" s="30">
        <v>59.53</v>
      </c>
      <c r="I721" s="17">
        <v>7.3599999999999897</v>
      </c>
      <c r="J721" s="17">
        <v>246.52</v>
      </c>
      <c r="K721" s="27">
        <v>46.97</v>
      </c>
      <c r="L721" s="17" t="s">
        <v>21</v>
      </c>
    </row>
    <row r="722" spans="1:12" x14ac:dyDescent="0.25">
      <c r="A722" s="12">
        <v>2023</v>
      </c>
      <c r="B722" s="12" t="s">
        <v>36</v>
      </c>
      <c r="C722" s="12" t="s">
        <v>31</v>
      </c>
      <c r="D722" s="12" t="s">
        <v>24</v>
      </c>
      <c r="E722" s="13">
        <v>35816</v>
      </c>
      <c r="F722" s="23">
        <v>11652906.140000001</v>
      </c>
      <c r="G722" s="29">
        <v>6.83</v>
      </c>
      <c r="H722" s="29">
        <v>52.51</v>
      </c>
      <c r="I722" s="12">
        <v>23.96</v>
      </c>
      <c r="J722" s="12">
        <v>85.44</v>
      </c>
      <c r="K722" s="26">
        <v>54.57</v>
      </c>
      <c r="L722" s="12" t="s">
        <v>21</v>
      </c>
    </row>
    <row r="723" spans="1:12" x14ac:dyDescent="0.25">
      <c r="A723" s="17">
        <v>2023</v>
      </c>
      <c r="B723" s="17" t="s">
        <v>36</v>
      </c>
      <c r="C723" s="17" t="s">
        <v>32</v>
      </c>
      <c r="D723" s="17" t="s">
        <v>24</v>
      </c>
      <c r="E723" s="18">
        <v>51399</v>
      </c>
      <c r="F723" s="24">
        <v>42332669.411999904</v>
      </c>
      <c r="G723" s="30">
        <v>4.71</v>
      </c>
      <c r="H723" s="30">
        <v>77.37</v>
      </c>
      <c r="I723" s="17">
        <v>33.159999999999997</v>
      </c>
      <c r="J723" s="17">
        <v>212.73</v>
      </c>
      <c r="K723" s="27">
        <v>87.94</v>
      </c>
      <c r="L723" s="17" t="s">
        <v>17</v>
      </c>
    </row>
    <row r="724" spans="1:12" x14ac:dyDescent="0.25">
      <c r="A724" s="12">
        <v>2023</v>
      </c>
      <c r="B724" s="12" t="s">
        <v>36</v>
      </c>
      <c r="C724" s="12" t="s">
        <v>33</v>
      </c>
      <c r="D724" s="12" t="s">
        <v>24</v>
      </c>
      <c r="E724" s="13">
        <v>25724</v>
      </c>
      <c r="F724" s="23">
        <v>4967036.6160000004</v>
      </c>
      <c r="G724" s="29">
        <v>2.8</v>
      </c>
      <c r="H724" s="29">
        <v>102.38</v>
      </c>
      <c r="I724" s="12">
        <v>45.67</v>
      </c>
      <c r="J724" s="12">
        <v>52.28</v>
      </c>
      <c r="K724" s="26">
        <v>75.87</v>
      </c>
      <c r="L724" s="12" t="s">
        <v>15</v>
      </c>
    </row>
    <row r="725" spans="1:12" x14ac:dyDescent="0.25">
      <c r="A725" s="17">
        <v>2023</v>
      </c>
      <c r="B725" s="17" t="s">
        <v>36</v>
      </c>
      <c r="C725" s="17" t="s">
        <v>34</v>
      </c>
      <c r="D725" s="17" t="s">
        <v>24</v>
      </c>
      <c r="E725" s="18">
        <v>19229</v>
      </c>
      <c r="F725" s="24">
        <v>37535867.520000003</v>
      </c>
      <c r="G725" s="30">
        <v>6.95</v>
      </c>
      <c r="H725" s="30">
        <v>71.89</v>
      </c>
      <c r="I725" s="17">
        <v>44.75</v>
      </c>
      <c r="J725" s="17">
        <v>122.87</v>
      </c>
      <c r="K725" s="27">
        <v>91.72</v>
      </c>
      <c r="L725" s="17" t="s">
        <v>17</v>
      </c>
    </row>
    <row r="726" spans="1:12" x14ac:dyDescent="0.25">
      <c r="A726" s="12">
        <v>2023</v>
      </c>
      <c r="B726" s="12" t="s">
        <v>37</v>
      </c>
      <c r="C726" s="12" t="s">
        <v>13</v>
      </c>
      <c r="D726" s="12" t="s">
        <v>14</v>
      </c>
      <c r="E726" s="13">
        <v>40560</v>
      </c>
      <c r="F726" s="23">
        <v>10240842.15</v>
      </c>
      <c r="G726" s="29">
        <v>1.06</v>
      </c>
      <c r="H726" s="29">
        <v>40.090000000000003</v>
      </c>
      <c r="I726" s="12">
        <v>30.86</v>
      </c>
      <c r="J726" s="12">
        <v>154.81</v>
      </c>
      <c r="K726" s="26">
        <v>68.239999999999995</v>
      </c>
      <c r="L726" s="12" t="s">
        <v>21</v>
      </c>
    </row>
    <row r="727" spans="1:12" x14ac:dyDescent="0.25">
      <c r="A727" s="17">
        <v>2023</v>
      </c>
      <c r="B727" s="17" t="s">
        <v>37</v>
      </c>
      <c r="C727" s="17" t="s">
        <v>16</v>
      </c>
      <c r="D727" s="17" t="s">
        <v>14</v>
      </c>
      <c r="E727" s="18">
        <v>35697</v>
      </c>
      <c r="F727" s="24">
        <v>19462564.98</v>
      </c>
      <c r="G727" s="30">
        <v>2.4900000000000002</v>
      </c>
      <c r="H727" s="30">
        <v>36.549999999999997</v>
      </c>
      <c r="I727" s="17">
        <v>36.44</v>
      </c>
      <c r="J727" s="17">
        <v>236.39</v>
      </c>
      <c r="K727" s="27">
        <v>47.11</v>
      </c>
      <c r="L727" s="17" t="s">
        <v>21</v>
      </c>
    </row>
    <row r="728" spans="1:12" x14ac:dyDescent="0.25">
      <c r="A728" s="12">
        <v>2023</v>
      </c>
      <c r="B728" s="12" t="s">
        <v>37</v>
      </c>
      <c r="C728" s="12" t="s">
        <v>18</v>
      </c>
      <c r="D728" s="12" t="s">
        <v>14</v>
      </c>
      <c r="E728" s="13">
        <v>47421</v>
      </c>
      <c r="F728" s="23">
        <v>4828393.0619999999</v>
      </c>
      <c r="G728" s="29">
        <v>0.34</v>
      </c>
      <c r="H728" s="29">
        <v>69.319999999999993</v>
      </c>
      <c r="I728" s="12">
        <v>14.16</v>
      </c>
      <c r="J728" s="12">
        <v>174.21</v>
      </c>
      <c r="K728" s="26">
        <v>73.78</v>
      </c>
      <c r="L728" s="12" t="s">
        <v>17</v>
      </c>
    </row>
    <row r="729" spans="1:12" x14ac:dyDescent="0.25">
      <c r="A729" s="17">
        <v>2023</v>
      </c>
      <c r="B729" s="17" t="s">
        <v>37</v>
      </c>
      <c r="C729" s="17" t="s">
        <v>20</v>
      </c>
      <c r="D729" s="17" t="s">
        <v>14</v>
      </c>
      <c r="E729" s="18">
        <v>36328</v>
      </c>
      <c r="F729" s="24">
        <v>33957658.93</v>
      </c>
      <c r="G729" s="30">
        <v>1.68</v>
      </c>
      <c r="H729" s="30">
        <v>25.34</v>
      </c>
      <c r="I729" s="17">
        <v>10.88</v>
      </c>
      <c r="J729" s="17">
        <v>248.93</v>
      </c>
      <c r="K729" s="27">
        <v>80.819999999999993</v>
      </c>
      <c r="L729" s="17" t="s">
        <v>19</v>
      </c>
    </row>
    <row r="730" spans="1:12" x14ac:dyDescent="0.25">
      <c r="A730" s="12">
        <v>2023</v>
      </c>
      <c r="B730" s="12" t="s">
        <v>37</v>
      </c>
      <c r="C730" s="12" t="s">
        <v>22</v>
      </c>
      <c r="D730" s="12" t="s">
        <v>14</v>
      </c>
      <c r="E730" s="13">
        <v>7177</v>
      </c>
      <c r="F730" s="23">
        <v>12756979.869999999</v>
      </c>
      <c r="G730" s="29">
        <v>3.84</v>
      </c>
      <c r="H730" s="29">
        <v>83.21</v>
      </c>
      <c r="I730" s="12">
        <v>46.58</v>
      </c>
      <c r="J730" s="12">
        <v>244.75</v>
      </c>
      <c r="K730" s="26">
        <v>58.59</v>
      </c>
      <c r="L730" s="12" t="s">
        <v>17</v>
      </c>
    </row>
    <row r="731" spans="1:12" x14ac:dyDescent="0.25">
      <c r="A731" s="17">
        <v>2023</v>
      </c>
      <c r="B731" s="17" t="s">
        <v>37</v>
      </c>
      <c r="C731" s="17" t="s">
        <v>23</v>
      </c>
      <c r="D731" s="17" t="s">
        <v>24</v>
      </c>
      <c r="E731" s="18">
        <v>26543</v>
      </c>
      <c r="F731" s="24">
        <v>22616882.710000001</v>
      </c>
      <c r="G731" s="30">
        <v>6.92</v>
      </c>
      <c r="H731" s="30">
        <v>47.63</v>
      </c>
      <c r="I731" s="17">
        <v>35.93</v>
      </c>
      <c r="J731" s="17">
        <v>142.99</v>
      </c>
      <c r="K731" s="27">
        <v>65.489999999999995</v>
      </c>
      <c r="L731" s="17" t="s">
        <v>27</v>
      </c>
    </row>
    <row r="732" spans="1:12" x14ac:dyDescent="0.25">
      <c r="A732" s="12">
        <v>2023</v>
      </c>
      <c r="B732" s="12" t="s">
        <v>37</v>
      </c>
      <c r="C732" s="12" t="s">
        <v>25</v>
      </c>
      <c r="D732" s="12" t="s">
        <v>24</v>
      </c>
      <c r="E732" s="13">
        <v>56191</v>
      </c>
      <c r="F732" s="23">
        <v>12240588.060000001</v>
      </c>
      <c r="G732" s="29">
        <v>6.71</v>
      </c>
      <c r="H732" s="29">
        <v>72.16</v>
      </c>
      <c r="I732" s="12">
        <v>7.12</v>
      </c>
      <c r="J732" s="12">
        <v>152.26</v>
      </c>
      <c r="K732" s="26">
        <v>87.72</v>
      </c>
      <c r="L732" s="12" t="s">
        <v>15</v>
      </c>
    </row>
    <row r="733" spans="1:12" x14ac:dyDescent="0.25">
      <c r="A733" s="17">
        <v>2023</v>
      </c>
      <c r="B733" s="17" t="s">
        <v>37</v>
      </c>
      <c r="C733" s="17" t="s">
        <v>26</v>
      </c>
      <c r="D733" s="17" t="s">
        <v>24</v>
      </c>
      <c r="E733" s="18">
        <v>31159</v>
      </c>
      <c r="F733" s="24">
        <v>41780958.789999999</v>
      </c>
      <c r="G733" s="30">
        <v>4.5599999999999996</v>
      </c>
      <c r="H733" s="30">
        <v>79.39</v>
      </c>
      <c r="I733" s="17">
        <v>20.12</v>
      </c>
      <c r="J733" s="17">
        <v>294.91000000000003</v>
      </c>
      <c r="K733" s="27">
        <v>53.57</v>
      </c>
      <c r="L733" s="17" t="s">
        <v>19</v>
      </c>
    </row>
    <row r="734" spans="1:12" x14ac:dyDescent="0.25">
      <c r="A734" s="12">
        <v>2023</v>
      </c>
      <c r="B734" s="12" t="s">
        <v>37</v>
      </c>
      <c r="C734" s="12" t="s">
        <v>28</v>
      </c>
      <c r="D734" s="12" t="s">
        <v>24</v>
      </c>
      <c r="E734" s="13">
        <v>61064</v>
      </c>
      <c r="F734" s="23">
        <v>65387195.350000001</v>
      </c>
      <c r="G734" s="29">
        <v>5.49</v>
      </c>
      <c r="H734" s="29">
        <v>85.64</v>
      </c>
      <c r="I734" s="12">
        <v>26.68</v>
      </c>
      <c r="J734" s="12">
        <v>170.74</v>
      </c>
      <c r="K734" s="26">
        <v>59.27</v>
      </c>
      <c r="L734" s="12" t="s">
        <v>15</v>
      </c>
    </row>
    <row r="735" spans="1:12" x14ac:dyDescent="0.25">
      <c r="A735" s="17">
        <v>2023</v>
      </c>
      <c r="B735" s="17" t="s">
        <v>37</v>
      </c>
      <c r="C735" s="17" t="s">
        <v>29</v>
      </c>
      <c r="D735" s="17" t="s">
        <v>24</v>
      </c>
      <c r="E735" s="18">
        <v>34138</v>
      </c>
      <c r="F735" s="24">
        <v>54539172.82</v>
      </c>
      <c r="G735" s="30">
        <v>5.92</v>
      </c>
      <c r="H735" s="30">
        <v>98.31</v>
      </c>
      <c r="I735" s="17">
        <v>21.34</v>
      </c>
      <c r="J735" s="17">
        <v>195.17</v>
      </c>
      <c r="K735" s="27">
        <v>79.73</v>
      </c>
      <c r="L735" s="17" t="s">
        <v>15</v>
      </c>
    </row>
    <row r="736" spans="1:12" x14ac:dyDescent="0.25">
      <c r="A736" s="12">
        <v>2023</v>
      </c>
      <c r="B736" s="12" t="s">
        <v>37</v>
      </c>
      <c r="C736" s="12" t="s">
        <v>30</v>
      </c>
      <c r="D736" s="12" t="s">
        <v>24</v>
      </c>
      <c r="E736" s="13">
        <v>36216</v>
      </c>
      <c r="F736" s="23">
        <v>29959374.23</v>
      </c>
      <c r="G736" s="29">
        <v>3.82</v>
      </c>
      <c r="H736" s="29">
        <v>70.59</v>
      </c>
      <c r="I736" s="12">
        <v>46.92</v>
      </c>
      <c r="J736" s="12">
        <v>177.43</v>
      </c>
      <c r="K736" s="26">
        <v>63.86</v>
      </c>
      <c r="L736" s="12" t="s">
        <v>17</v>
      </c>
    </row>
    <row r="737" spans="1:12" x14ac:dyDescent="0.25">
      <c r="A737" s="17">
        <v>2023</v>
      </c>
      <c r="B737" s="17" t="s">
        <v>37</v>
      </c>
      <c r="C737" s="17" t="s">
        <v>31</v>
      </c>
      <c r="D737" s="17" t="s">
        <v>24</v>
      </c>
      <c r="E737" s="18">
        <v>56470</v>
      </c>
      <c r="F737" s="24">
        <v>29368072.66</v>
      </c>
      <c r="G737" s="30">
        <v>5.15</v>
      </c>
      <c r="H737" s="30">
        <v>71.88</v>
      </c>
      <c r="I737" s="17">
        <v>21.15</v>
      </c>
      <c r="J737" s="17">
        <v>192.3</v>
      </c>
      <c r="K737" s="27">
        <v>46.87</v>
      </c>
      <c r="L737" s="17" t="s">
        <v>21</v>
      </c>
    </row>
    <row r="738" spans="1:12" x14ac:dyDescent="0.25">
      <c r="A738" s="12">
        <v>2023</v>
      </c>
      <c r="B738" s="12" t="s">
        <v>37</v>
      </c>
      <c r="C738" s="12" t="s">
        <v>32</v>
      </c>
      <c r="D738" s="12" t="s">
        <v>24</v>
      </c>
      <c r="E738" s="13">
        <v>50544</v>
      </c>
      <c r="F738" s="23">
        <v>43782286.43</v>
      </c>
      <c r="G738" s="29">
        <v>4.6399999999999997</v>
      </c>
      <c r="H738" s="29">
        <v>96.7</v>
      </c>
      <c r="I738" s="12">
        <v>13.78</v>
      </c>
      <c r="J738" s="12">
        <v>184.26</v>
      </c>
      <c r="K738" s="26">
        <v>51.56</v>
      </c>
      <c r="L738" s="12" t="s">
        <v>21</v>
      </c>
    </row>
    <row r="739" spans="1:12" x14ac:dyDescent="0.25">
      <c r="A739" s="17">
        <v>2023</v>
      </c>
      <c r="B739" s="17" t="s">
        <v>37</v>
      </c>
      <c r="C739" s="17" t="s">
        <v>33</v>
      </c>
      <c r="D739" s="17" t="s">
        <v>24</v>
      </c>
      <c r="E739" s="18">
        <v>8752</v>
      </c>
      <c r="F739" s="24">
        <v>38989375.219999999</v>
      </c>
      <c r="G739" s="30">
        <v>2.66</v>
      </c>
      <c r="H739" s="30">
        <v>83.21</v>
      </c>
      <c r="I739" s="17">
        <v>28.99</v>
      </c>
      <c r="J739" s="17">
        <v>286.82</v>
      </c>
      <c r="K739" s="27">
        <v>62.63</v>
      </c>
      <c r="L739" s="17" t="s">
        <v>27</v>
      </c>
    </row>
    <row r="740" spans="1:12" x14ac:dyDescent="0.25">
      <c r="A740" s="12">
        <v>2023</v>
      </c>
      <c r="B740" s="12" t="s">
        <v>37</v>
      </c>
      <c r="C740" s="12" t="s">
        <v>34</v>
      </c>
      <c r="D740" s="12" t="s">
        <v>24</v>
      </c>
      <c r="E740" s="13">
        <v>52161</v>
      </c>
      <c r="F740" s="23">
        <v>28251610.309999999</v>
      </c>
      <c r="G740" s="29">
        <v>4.47</v>
      </c>
      <c r="H740" s="29">
        <v>63.99</v>
      </c>
      <c r="I740" s="12">
        <v>48.56</v>
      </c>
      <c r="J740" s="12">
        <v>255.02</v>
      </c>
      <c r="K740" s="26">
        <v>48.38</v>
      </c>
      <c r="L740" s="12" t="s">
        <v>19</v>
      </c>
    </row>
    <row r="741" spans="1:12" x14ac:dyDescent="0.25">
      <c r="A741" s="17">
        <v>2023</v>
      </c>
      <c r="B741" s="17" t="s">
        <v>12</v>
      </c>
      <c r="C741" s="17" t="s">
        <v>13</v>
      </c>
      <c r="D741" s="17" t="s">
        <v>14</v>
      </c>
      <c r="E741" s="18">
        <v>40947</v>
      </c>
      <c r="F741" s="24">
        <v>29431350.050000001</v>
      </c>
      <c r="G741" s="30">
        <v>2.29</v>
      </c>
      <c r="H741" s="30">
        <v>31.64</v>
      </c>
      <c r="I741" s="17">
        <v>20.82</v>
      </c>
      <c r="J741" s="17">
        <v>272.01</v>
      </c>
      <c r="K741" s="27">
        <v>80.790000000000006</v>
      </c>
      <c r="L741" s="17" t="s">
        <v>27</v>
      </c>
    </row>
    <row r="742" spans="1:12" x14ac:dyDescent="0.25">
      <c r="A742" s="12">
        <v>2023</v>
      </c>
      <c r="B742" s="12" t="s">
        <v>12</v>
      </c>
      <c r="C742" s="12" t="s">
        <v>16</v>
      </c>
      <c r="D742" s="12" t="s">
        <v>14</v>
      </c>
      <c r="E742" s="13">
        <v>14664</v>
      </c>
      <c r="F742" s="23">
        <v>15195950.99</v>
      </c>
      <c r="G742" s="29">
        <v>1.66</v>
      </c>
      <c r="H742" s="29">
        <v>62.66</v>
      </c>
      <c r="I742" s="12">
        <v>1.47</v>
      </c>
      <c r="J742" s="12">
        <v>171.98</v>
      </c>
      <c r="K742" s="26">
        <v>74.11</v>
      </c>
      <c r="L742" s="12" t="s">
        <v>21</v>
      </c>
    </row>
    <row r="743" spans="1:12" x14ac:dyDescent="0.25">
      <c r="A743" s="17">
        <v>2023</v>
      </c>
      <c r="B743" s="17" t="s">
        <v>12</v>
      </c>
      <c r="C743" s="17" t="s">
        <v>18</v>
      </c>
      <c r="D743" s="17" t="s">
        <v>14</v>
      </c>
      <c r="E743" s="18">
        <v>43817</v>
      </c>
      <c r="F743" s="24">
        <v>24176526.140000001</v>
      </c>
      <c r="G743" s="30">
        <v>2.4500000000000002</v>
      </c>
      <c r="H743" s="30">
        <v>48.62</v>
      </c>
      <c r="I743" s="17">
        <v>20.28</v>
      </c>
      <c r="J743" s="17">
        <v>175.27</v>
      </c>
      <c r="K743" s="27">
        <v>73.89</v>
      </c>
      <c r="L743" s="17" t="s">
        <v>27</v>
      </c>
    </row>
    <row r="744" spans="1:12" x14ac:dyDescent="0.25">
      <c r="A744" s="12">
        <v>2023</v>
      </c>
      <c r="B744" s="12" t="s">
        <v>12</v>
      </c>
      <c r="C744" s="12" t="s">
        <v>20</v>
      </c>
      <c r="D744" s="12" t="s">
        <v>14</v>
      </c>
      <c r="E744" s="13">
        <v>41459</v>
      </c>
      <c r="F744" s="23">
        <v>13687954.880000001</v>
      </c>
      <c r="G744" s="29">
        <v>-0.11</v>
      </c>
      <c r="H744" s="29">
        <v>62.18</v>
      </c>
      <c r="I744" s="12">
        <v>11.77</v>
      </c>
      <c r="J744" s="12">
        <v>287.5</v>
      </c>
      <c r="K744" s="26">
        <v>41.54</v>
      </c>
      <c r="L744" s="12" t="s">
        <v>17</v>
      </c>
    </row>
    <row r="745" spans="1:12" x14ac:dyDescent="0.25">
      <c r="A745" s="17">
        <v>2023</v>
      </c>
      <c r="B745" s="17" t="s">
        <v>12</v>
      </c>
      <c r="C745" s="17" t="s">
        <v>22</v>
      </c>
      <c r="D745" s="17" t="s">
        <v>14</v>
      </c>
      <c r="E745" s="18">
        <v>32918</v>
      </c>
      <c r="F745" s="24">
        <v>22481075.41</v>
      </c>
      <c r="G745" s="30">
        <v>1.86</v>
      </c>
      <c r="H745" s="30">
        <v>81.72</v>
      </c>
      <c r="I745" s="17">
        <v>33.4</v>
      </c>
      <c r="J745" s="17">
        <v>108.49</v>
      </c>
      <c r="K745" s="27">
        <v>65.459999999999994</v>
      </c>
      <c r="L745" s="17" t="s">
        <v>21</v>
      </c>
    </row>
    <row r="746" spans="1:12" x14ac:dyDescent="0.25">
      <c r="A746" s="12">
        <v>2023</v>
      </c>
      <c r="B746" s="12" t="s">
        <v>12</v>
      </c>
      <c r="C746" s="12" t="s">
        <v>23</v>
      </c>
      <c r="D746" s="12" t="s">
        <v>24</v>
      </c>
      <c r="E746" s="13">
        <v>42266</v>
      </c>
      <c r="F746" s="23">
        <v>25950100.260000002</v>
      </c>
      <c r="G746" s="29">
        <v>6.02</v>
      </c>
      <c r="H746" s="29">
        <v>55.39</v>
      </c>
      <c r="I746" s="12">
        <v>39.53</v>
      </c>
      <c r="J746" s="12">
        <v>262.25</v>
      </c>
      <c r="K746" s="26">
        <v>45.63</v>
      </c>
      <c r="L746" s="12" t="s">
        <v>15</v>
      </c>
    </row>
    <row r="747" spans="1:12" x14ac:dyDescent="0.25">
      <c r="A747" s="17">
        <v>2023</v>
      </c>
      <c r="B747" s="17" t="s">
        <v>12</v>
      </c>
      <c r="C747" s="17" t="s">
        <v>25</v>
      </c>
      <c r="D747" s="17" t="s">
        <v>24</v>
      </c>
      <c r="E747" s="18">
        <v>35503</v>
      </c>
      <c r="F747" s="24">
        <v>31844795.27</v>
      </c>
      <c r="G747" s="30">
        <v>3.87</v>
      </c>
      <c r="H747" s="30">
        <v>85.47</v>
      </c>
      <c r="I747" s="17">
        <v>48.17</v>
      </c>
      <c r="J747" s="17">
        <v>262.83999999999997</v>
      </c>
      <c r="K747" s="27">
        <v>68</v>
      </c>
      <c r="L747" s="17" t="s">
        <v>15</v>
      </c>
    </row>
    <row r="748" spans="1:12" x14ac:dyDescent="0.25">
      <c r="A748" s="12">
        <v>2023</v>
      </c>
      <c r="B748" s="12" t="s">
        <v>12</v>
      </c>
      <c r="C748" s="12" t="s">
        <v>26</v>
      </c>
      <c r="D748" s="12" t="s">
        <v>24</v>
      </c>
      <c r="E748" s="13">
        <v>47694</v>
      </c>
      <c r="F748" s="23">
        <v>18903891.32</v>
      </c>
      <c r="G748" s="29">
        <v>5.9</v>
      </c>
      <c r="H748" s="29">
        <v>62.48</v>
      </c>
      <c r="I748" s="12">
        <v>29.12</v>
      </c>
      <c r="J748" s="12">
        <v>227.77</v>
      </c>
      <c r="K748" s="26">
        <v>87.07</v>
      </c>
      <c r="L748" s="12" t="s">
        <v>27</v>
      </c>
    </row>
    <row r="749" spans="1:12" x14ac:dyDescent="0.25">
      <c r="A749" s="17">
        <v>2023</v>
      </c>
      <c r="B749" s="17" t="s">
        <v>12</v>
      </c>
      <c r="C749" s="17" t="s">
        <v>28</v>
      </c>
      <c r="D749" s="17" t="s">
        <v>24</v>
      </c>
      <c r="E749" s="18">
        <v>36500</v>
      </c>
      <c r="F749" s="24">
        <v>11340925.859999999</v>
      </c>
      <c r="G749" s="30">
        <v>2.86</v>
      </c>
      <c r="H749" s="30">
        <v>98.22</v>
      </c>
      <c r="I749" s="17">
        <v>46.72</v>
      </c>
      <c r="J749" s="17">
        <v>177.9</v>
      </c>
      <c r="K749" s="27">
        <v>65.83</v>
      </c>
      <c r="L749" s="17" t="s">
        <v>15</v>
      </c>
    </row>
    <row r="750" spans="1:12" x14ac:dyDescent="0.25">
      <c r="A750" s="12">
        <v>2023</v>
      </c>
      <c r="B750" s="12" t="s">
        <v>12</v>
      </c>
      <c r="C750" s="12" t="s">
        <v>29</v>
      </c>
      <c r="D750" s="12" t="s">
        <v>24</v>
      </c>
      <c r="E750" s="13">
        <v>31535</v>
      </c>
      <c r="F750" s="23">
        <v>75369161.280000001</v>
      </c>
      <c r="G750" s="29">
        <v>4.8499999999999996</v>
      </c>
      <c r="H750" s="29">
        <v>103.92</v>
      </c>
      <c r="I750" s="12">
        <v>6.42</v>
      </c>
      <c r="J750" s="12">
        <v>256.02999999999997</v>
      </c>
      <c r="K750" s="26">
        <v>54.7</v>
      </c>
      <c r="L750" s="12" t="s">
        <v>15</v>
      </c>
    </row>
    <row r="751" spans="1:12" x14ac:dyDescent="0.25">
      <c r="A751" s="17">
        <v>2023</v>
      </c>
      <c r="B751" s="17" t="s">
        <v>12</v>
      </c>
      <c r="C751" s="17" t="s">
        <v>30</v>
      </c>
      <c r="D751" s="17" t="s">
        <v>24</v>
      </c>
      <c r="E751" s="18">
        <v>25428</v>
      </c>
      <c r="F751" s="24">
        <v>41184238.579999998</v>
      </c>
      <c r="G751" s="30">
        <v>4.9000000000000004</v>
      </c>
      <c r="H751" s="30">
        <v>78.09</v>
      </c>
      <c r="I751" s="17">
        <v>24.18</v>
      </c>
      <c r="J751" s="17">
        <v>262.01</v>
      </c>
      <c r="K751" s="27">
        <v>54.8</v>
      </c>
      <c r="L751" s="17" t="s">
        <v>21</v>
      </c>
    </row>
    <row r="752" spans="1:12" x14ac:dyDescent="0.25">
      <c r="A752" s="12">
        <v>2023</v>
      </c>
      <c r="B752" s="12" t="s">
        <v>12</v>
      </c>
      <c r="C752" s="12" t="s">
        <v>31</v>
      </c>
      <c r="D752" s="12" t="s">
        <v>24</v>
      </c>
      <c r="E752" s="13">
        <v>58459</v>
      </c>
      <c r="F752" s="23">
        <v>6197608.4639999997</v>
      </c>
      <c r="G752" s="29">
        <v>5.29</v>
      </c>
      <c r="H752" s="29">
        <v>65.56</v>
      </c>
      <c r="I752" s="12">
        <v>52.82</v>
      </c>
      <c r="J752" s="12">
        <v>231.91</v>
      </c>
      <c r="K752" s="26">
        <v>69.150000000000006</v>
      </c>
      <c r="L752" s="12" t="s">
        <v>19</v>
      </c>
    </row>
    <row r="753" spans="1:12" x14ac:dyDescent="0.25">
      <c r="A753" s="17">
        <v>2023</v>
      </c>
      <c r="B753" s="17" t="s">
        <v>12</v>
      </c>
      <c r="C753" s="17" t="s">
        <v>32</v>
      </c>
      <c r="D753" s="17" t="s">
        <v>24</v>
      </c>
      <c r="E753" s="18">
        <v>39916</v>
      </c>
      <c r="F753" s="24">
        <v>30964782.02</v>
      </c>
      <c r="G753" s="30">
        <v>5.5299999999999896</v>
      </c>
      <c r="H753" s="30">
        <v>47.84</v>
      </c>
      <c r="I753" s="17">
        <v>15.23</v>
      </c>
      <c r="J753" s="17">
        <v>260.8</v>
      </c>
      <c r="K753" s="27">
        <v>82.88</v>
      </c>
      <c r="L753" s="17" t="s">
        <v>19</v>
      </c>
    </row>
    <row r="754" spans="1:12" x14ac:dyDescent="0.25">
      <c r="A754" s="12">
        <v>2023</v>
      </c>
      <c r="B754" s="12" t="s">
        <v>12</v>
      </c>
      <c r="C754" s="12" t="s">
        <v>33</v>
      </c>
      <c r="D754" s="12" t="s">
        <v>24</v>
      </c>
      <c r="E754" s="13">
        <v>56785</v>
      </c>
      <c r="F754" s="23">
        <v>37101918.729999997</v>
      </c>
      <c r="G754" s="29">
        <v>4.21</v>
      </c>
      <c r="H754" s="29">
        <v>67.62</v>
      </c>
      <c r="I754" s="12">
        <v>43.79</v>
      </c>
      <c r="J754" s="12">
        <v>240.21</v>
      </c>
      <c r="K754" s="26">
        <v>75.959999999999994</v>
      </c>
      <c r="L754" s="12" t="s">
        <v>15</v>
      </c>
    </row>
    <row r="755" spans="1:12" x14ac:dyDescent="0.25">
      <c r="A755" s="17">
        <v>2023</v>
      </c>
      <c r="B755" s="17" t="s">
        <v>12</v>
      </c>
      <c r="C755" s="17" t="s">
        <v>34</v>
      </c>
      <c r="D755" s="17" t="s">
        <v>24</v>
      </c>
      <c r="E755" s="18">
        <v>11658</v>
      </c>
      <c r="F755" s="24">
        <v>14130688.68</v>
      </c>
      <c r="G755" s="30">
        <v>4.8099999999999996</v>
      </c>
      <c r="H755" s="30">
        <v>64.150000000000006</v>
      </c>
      <c r="I755" s="17">
        <v>50.51</v>
      </c>
      <c r="J755" s="17">
        <v>117.92</v>
      </c>
      <c r="K755" s="27">
        <v>62.56</v>
      </c>
      <c r="L755" s="17" t="s">
        <v>27</v>
      </c>
    </row>
    <row r="756" spans="1:12" x14ac:dyDescent="0.25">
      <c r="A756" s="12">
        <v>2023</v>
      </c>
      <c r="B756" s="12" t="s">
        <v>35</v>
      </c>
      <c r="C756" s="12" t="s">
        <v>13</v>
      </c>
      <c r="D756" s="12" t="s">
        <v>14</v>
      </c>
      <c r="E756" s="13">
        <v>28445</v>
      </c>
      <c r="F756" s="23">
        <v>23846107.199999999</v>
      </c>
      <c r="G756" s="29">
        <v>3.99</v>
      </c>
      <c r="H756" s="29">
        <v>46.8</v>
      </c>
      <c r="I756" s="12">
        <v>37.909999999999997</v>
      </c>
      <c r="J756" s="12">
        <v>175.6</v>
      </c>
      <c r="K756" s="26">
        <v>66.599999999999994</v>
      </c>
      <c r="L756" s="12" t="s">
        <v>27</v>
      </c>
    </row>
    <row r="757" spans="1:12" x14ac:dyDescent="0.25">
      <c r="A757" s="17">
        <v>2023</v>
      </c>
      <c r="B757" s="17" t="s">
        <v>35</v>
      </c>
      <c r="C757" s="17" t="s">
        <v>16</v>
      </c>
      <c r="D757" s="17" t="s">
        <v>14</v>
      </c>
      <c r="E757" s="18">
        <v>12074</v>
      </c>
      <c r="F757" s="24">
        <v>10953765.789999999</v>
      </c>
      <c r="G757" s="30">
        <v>1.67</v>
      </c>
      <c r="H757" s="30">
        <v>65.23</v>
      </c>
      <c r="I757" s="17">
        <v>47.14</v>
      </c>
      <c r="J757" s="17">
        <v>106.03</v>
      </c>
      <c r="K757" s="27">
        <v>70.52</v>
      </c>
      <c r="L757" s="17" t="s">
        <v>27</v>
      </c>
    </row>
    <row r="758" spans="1:12" x14ac:dyDescent="0.25">
      <c r="A758" s="12">
        <v>2023</v>
      </c>
      <c r="B758" s="12" t="s">
        <v>35</v>
      </c>
      <c r="C758" s="12" t="s">
        <v>18</v>
      </c>
      <c r="D758" s="12" t="s">
        <v>14</v>
      </c>
      <c r="E758" s="13">
        <v>24787</v>
      </c>
      <c r="F758" s="23">
        <v>11158722.59</v>
      </c>
      <c r="G758" s="29">
        <v>2.93</v>
      </c>
      <c r="H758" s="29">
        <v>73.150000000000006</v>
      </c>
      <c r="I758" s="12">
        <v>29.28</v>
      </c>
      <c r="J758" s="12">
        <v>138</v>
      </c>
      <c r="K758" s="26">
        <v>68.94</v>
      </c>
      <c r="L758" s="12" t="s">
        <v>27</v>
      </c>
    </row>
    <row r="759" spans="1:12" x14ac:dyDescent="0.25">
      <c r="A759" s="17">
        <v>2023</v>
      </c>
      <c r="B759" s="17" t="s">
        <v>35</v>
      </c>
      <c r="C759" s="17" t="s">
        <v>20</v>
      </c>
      <c r="D759" s="17" t="s">
        <v>14</v>
      </c>
      <c r="E759" s="18">
        <v>40418</v>
      </c>
      <c r="F759" s="24">
        <v>32030342.59</v>
      </c>
      <c r="G759" s="30">
        <v>1.77999999999999</v>
      </c>
      <c r="H759" s="30">
        <v>61.9</v>
      </c>
      <c r="I759" s="17">
        <v>24.69</v>
      </c>
      <c r="J759" s="17">
        <v>160.97999999999999</v>
      </c>
      <c r="K759" s="27">
        <v>45.26</v>
      </c>
      <c r="L759" s="17" t="s">
        <v>21</v>
      </c>
    </row>
    <row r="760" spans="1:12" x14ac:dyDescent="0.25">
      <c r="A760" s="12">
        <v>2023</v>
      </c>
      <c r="B760" s="12" t="s">
        <v>35</v>
      </c>
      <c r="C760" s="12" t="s">
        <v>22</v>
      </c>
      <c r="D760" s="12" t="s">
        <v>14</v>
      </c>
      <c r="E760" s="13">
        <v>34655</v>
      </c>
      <c r="F760" s="23">
        <v>5500615.1399999997</v>
      </c>
      <c r="G760" s="29">
        <v>0</v>
      </c>
      <c r="H760" s="29">
        <v>36.06</v>
      </c>
      <c r="I760" s="12">
        <v>47.06</v>
      </c>
      <c r="J760" s="12">
        <v>75.69</v>
      </c>
      <c r="K760" s="26">
        <v>57.66</v>
      </c>
      <c r="L760" s="12" t="s">
        <v>19</v>
      </c>
    </row>
    <row r="761" spans="1:12" x14ac:dyDescent="0.25">
      <c r="A761" s="17">
        <v>2023</v>
      </c>
      <c r="B761" s="17" t="s">
        <v>35</v>
      </c>
      <c r="C761" s="17" t="s">
        <v>23</v>
      </c>
      <c r="D761" s="17" t="s">
        <v>24</v>
      </c>
      <c r="E761" s="18">
        <v>18720</v>
      </c>
      <c r="F761" s="24">
        <v>45175723.359999999</v>
      </c>
      <c r="G761" s="30">
        <v>6.09</v>
      </c>
      <c r="H761" s="30">
        <v>77.17</v>
      </c>
      <c r="I761" s="17">
        <v>13.16</v>
      </c>
      <c r="J761" s="17">
        <v>95.71</v>
      </c>
      <c r="K761" s="27">
        <v>54.69</v>
      </c>
      <c r="L761" s="17" t="s">
        <v>17</v>
      </c>
    </row>
    <row r="762" spans="1:12" x14ac:dyDescent="0.25">
      <c r="A762" s="12">
        <v>2023</v>
      </c>
      <c r="B762" s="12" t="s">
        <v>35</v>
      </c>
      <c r="C762" s="12" t="s">
        <v>25</v>
      </c>
      <c r="D762" s="12" t="s">
        <v>24</v>
      </c>
      <c r="E762" s="13">
        <v>7111</v>
      </c>
      <c r="F762" s="23">
        <v>38171299.740000002</v>
      </c>
      <c r="G762" s="29">
        <v>4.9000000000000004</v>
      </c>
      <c r="H762" s="29">
        <v>94.2</v>
      </c>
      <c r="I762" s="12">
        <v>53.26</v>
      </c>
      <c r="J762" s="12">
        <v>269.75</v>
      </c>
      <c r="K762" s="26">
        <v>52.92</v>
      </c>
      <c r="L762" s="12" t="s">
        <v>15</v>
      </c>
    </row>
    <row r="763" spans="1:12" x14ac:dyDescent="0.25">
      <c r="A763" s="17">
        <v>2023</v>
      </c>
      <c r="B763" s="17" t="s">
        <v>35</v>
      </c>
      <c r="C763" s="17" t="s">
        <v>26</v>
      </c>
      <c r="D763" s="17" t="s">
        <v>24</v>
      </c>
      <c r="E763" s="18">
        <v>22044</v>
      </c>
      <c r="F763" s="24">
        <v>31012290.23</v>
      </c>
      <c r="G763" s="30">
        <v>5.12</v>
      </c>
      <c r="H763" s="30">
        <v>79.73</v>
      </c>
      <c r="I763" s="17">
        <v>37.979999999999997</v>
      </c>
      <c r="J763" s="17">
        <v>63.5</v>
      </c>
      <c r="K763" s="27">
        <v>81.510000000000005</v>
      </c>
      <c r="L763" s="17" t="s">
        <v>17</v>
      </c>
    </row>
    <row r="764" spans="1:12" x14ac:dyDescent="0.25">
      <c r="A764" s="12">
        <v>2023</v>
      </c>
      <c r="B764" s="12" t="s">
        <v>35</v>
      </c>
      <c r="C764" s="12" t="s">
        <v>28</v>
      </c>
      <c r="D764" s="12" t="s">
        <v>24</v>
      </c>
      <c r="E764" s="13">
        <v>14004</v>
      </c>
      <c r="F764" s="23">
        <v>7989841.6199999899</v>
      </c>
      <c r="G764" s="29">
        <v>3.37</v>
      </c>
      <c r="H764" s="29">
        <v>86.05</v>
      </c>
      <c r="I764" s="12">
        <v>18.510000000000002</v>
      </c>
      <c r="J764" s="12">
        <v>249.43</v>
      </c>
      <c r="K764" s="26">
        <v>45.62</v>
      </c>
      <c r="L764" s="12" t="s">
        <v>21</v>
      </c>
    </row>
    <row r="765" spans="1:12" x14ac:dyDescent="0.25">
      <c r="A765" s="17">
        <v>2023</v>
      </c>
      <c r="B765" s="17" t="s">
        <v>35</v>
      </c>
      <c r="C765" s="17" t="s">
        <v>29</v>
      </c>
      <c r="D765" s="17" t="s">
        <v>24</v>
      </c>
      <c r="E765" s="18">
        <v>55851</v>
      </c>
      <c r="F765" s="24">
        <v>19401460.379999999</v>
      </c>
      <c r="G765" s="30">
        <v>5.04</v>
      </c>
      <c r="H765" s="30">
        <v>98.87</v>
      </c>
      <c r="I765" s="17">
        <v>14.29</v>
      </c>
      <c r="J765" s="17">
        <v>187.41</v>
      </c>
      <c r="K765" s="27">
        <v>45.43</v>
      </c>
      <c r="L765" s="17" t="s">
        <v>17</v>
      </c>
    </row>
    <row r="766" spans="1:12" x14ac:dyDescent="0.25">
      <c r="A766" s="12">
        <v>2023</v>
      </c>
      <c r="B766" s="12" t="s">
        <v>35</v>
      </c>
      <c r="C766" s="12" t="s">
        <v>30</v>
      </c>
      <c r="D766" s="12" t="s">
        <v>24</v>
      </c>
      <c r="E766" s="13">
        <v>43275</v>
      </c>
      <c r="F766" s="23">
        <v>7555516.4280000003</v>
      </c>
      <c r="G766" s="29">
        <v>4.18</v>
      </c>
      <c r="H766" s="29">
        <v>44.77</v>
      </c>
      <c r="I766" s="12">
        <v>25.77</v>
      </c>
      <c r="J766" s="12">
        <v>214.9</v>
      </c>
      <c r="K766" s="26">
        <v>48.3</v>
      </c>
      <c r="L766" s="12" t="s">
        <v>17</v>
      </c>
    </row>
    <row r="767" spans="1:12" x14ac:dyDescent="0.25">
      <c r="A767" s="17">
        <v>2023</v>
      </c>
      <c r="B767" s="17" t="s">
        <v>35</v>
      </c>
      <c r="C767" s="17" t="s">
        <v>31</v>
      </c>
      <c r="D767" s="17" t="s">
        <v>24</v>
      </c>
      <c r="E767" s="18">
        <v>14970</v>
      </c>
      <c r="F767" s="24">
        <v>18515548.91</v>
      </c>
      <c r="G767" s="30">
        <v>6.32</v>
      </c>
      <c r="H767" s="30">
        <v>52.48</v>
      </c>
      <c r="I767" s="17">
        <v>25</v>
      </c>
      <c r="J767" s="17">
        <v>57.27</v>
      </c>
      <c r="K767" s="27">
        <v>51.12</v>
      </c>
      <c r="L767" s="17" t="s">
        <v>17</v>
      </c>
    </row>
    <row r="768" spans="1:12" x14ac:dyDescent="0.25">
      <c r="A768" s="12">
        <v>2023</v>
      </c>
      <c r="B768" s="12" t="s">
        <v>35</v>
      </c>
      <c r="C768" s="12" t="s">
        <v>32</v>
      </c>
      <c r="D768" s="12" t="s">
        <v>24</v>
      </c>
      <c r="E768" s="13">
        <v>37850</v>
      </c>
      <c r="F768" s="23">
        <v>11674638.720000001</v>
      </c>
      <c r="G768" s="29">
        <v>6.51</v>
      </c>
      <c r="H768" s="29">
        <v>65.650000000000006</v>
      </c>
      <c r="I768" s="12">
        <v>35.799999999999997</v>
      </c>
      <c r="J768" s="12">
        <v>210.17</v>
      </c>
      <c r="K768" s="26">
        <v>70.25</v>
      </c>
      <c r="L768" s="12" t="s">
        <v>19</v>
      </c>
    </row>
    <row r="769" spans="1:12" x14ac:dyDescent="0.25">
      <c r="A769" s="17">
        <v>2023</v>
      </c>
      <c r="B769" s="17" t="s">
        <v>35</v>
      </c>
      <c r="C769" s="17" t="s">
        <v>33</v>
      </c>
      <c r="D769" s="17" t="s">
        <v>24</v>
      </c>
      <c r="E769" s="18">
        <v>12105</v>
      </c>
      <c r="F769" s="24">
        <v>51838068.950000003</v>
      </c>
      <c r="G769" s="30">
        <v>5.2799999999999896</v>
      </c>
      <c r="H769" s="30">
        <v>77.760000000000005</v>
      </c>
      <c r="I769" s="17">
        <v>52.15</v>
      </c>
      <c r="J769" s="17">
        <v>51.12</v>
      </c>
      <c r="K769" s="27">
        <v>86.82</v>
      </c>
      <c r="L769" s="17" t="s">
        <v>17</v>
      </c>
    </row>
    <row r="770" spans="1:12" x14ac:dyDescent="0.25">
      <c r="A770" s="12">
        <v>2023</v>
      </c>
      <c r="B770" s="12" t="s">
        <v>35</v>
      </c>
      <c r="C770" s="12" t="s">
        <v>34</v>
      </c>
      <c r="D770" s="12" t="s">
        <v>24</v>
      </c>
      <c r="E770" s="13">
        <v>43400</v>
      </c>
      <c r="F770" s="23">
        <v>25193544.600000001</v>
      </c>
      <c r="G770" s="29">
        <v>2.97</v>
      </c>
      <c r="H770" s="29">
        <v>86.63</v>
      </c>
      <c r="I770" s="12">
        <v>52.81</v>
      </c>
      <c r="J770" s="12">
        <v>178.32</v>
      </c>
      <c r="K770" s="26">
        <v>45.09</v>
      </c>
      <c r="L770" s="12" t="s">
        <v>17</v>
      </c>
    </row>
    <row r="771" spans="1:12" x14ac:dyDescent="0.25">
      <c r="A771" s="17">
        <v>2023</v>
      </c>
      <c r="B771" s="17" t="s">
        <v>36</v>
      </c>
      <c r="C771" s="17" t="s">
        <v>13</v>
      </c>
      <c r="D771" s="17" t="s">
        <v>14</v>
      </c>
      <c r="E771" s="18">
        <v>45735</v>
      </c>
      <c r="F771" s="24">
        <v>2987436.3840000001</v>
      </c>
      <c r="G771" s="30">
        <v>0.26</v>
      </c>
      <c r="H771" s="30">
        <v>50.76</v>
      </c>
      <c r="I771" s="17">
        <v>9.67</v>
      </c>
      <c r="J771" s="17">
        <v>280.41000000000003</v>
      </c>
      <c r="K771" s="27">
        <v>64.86</v>
      </c>
      <c r="L771" s="17" t="s">
        <v>15</v>
      </c>
    </row>
    <row r="772" spans="1:12" x14ac:dyDescent="0.25">
      <c r="A772" s="12">
        <v>2023</v>
      </c>
      <c r="B772" s="12" t="s">
        <v>36</v>
      </c>
      <c r="C772" s="12" t="s">
        <v>16</v>
      </c>
      <c r="D772" s="12" t="s">
        <v>14</v>
      </c>
      <c r="E772" s="13">
        <v>14799</v>
      </c>
      <c r="F772" s="23">
        <v>4874859.7379999999</v>
      </c>
      <c r="G772" s="29">
        <v>3.39</v>
      </c>
      <c r="H772" s="29">
        <v>49.36</v>
      </c>
      <c r="I772" s="12">
        <v>15.579999999999901</v>
      </c>
      <c r="J772" s="12">
        <v>220.38</v>
      </c>
      <c r="K772" s="26">
        <v>51.94</v>
      </c>
      <c r="L772" s="12" t="s">
        <v>19</v>
      </c>
    </row>
    <row r="773" spans="1:12" x14ac:dyDescent="0.25">
      <c r="A773" s="17">
        <v>2023</v>
      </c>
      <c r="B773" s="17" t="s">
        <v>36</v>
      </c>
      <c r="C773" s="17" t="s">
        <v>18</v>
      </c>
      <c r="D773" s="17" t="s">
        <v>14</v>
      </c>
      <c r="E773" s="18">
        <v>42940</v>
      </c>
      <c r="F773" s="24">
        <v>4424999.4989999998</v>
      </c>
      <c r="G773" s="30">
        <v>0.59</v>
      </c>
      <c r="H773" s="30">
        <v>87.76</v>
      </c>
      <c r="I773" s="17">
        <v>46.41</v>
      </c>
      <c r="J773" s="17">
        <v>87.57</v>
      </c>
      <c r="K773" s="27">
        <v>83.22</v>
      </c>
      <c r="L773" s="17" t="s">
        <v>27</v>
      </c>
    </row>
    <row r="774" spans="1:12" x14ac:dyDescent="0.25">
      <c r="A774" s="12">
        <v>2023</v>
      </c>
      <c r="B774" s="12" t="s">
        <v>36</v>
      </c>
      <c r="C774" s="12" t="s">
        <v>20</v>
      </c>
      <c r="D774" s="12" t="s">
        <v>14</v>
      </c>
      <c r="E774" s="13">
        <v>46321</v>
      </c>
      <c r="F774" s="23">
        <v>12172734.050000001</v>
      </c>
      <c r="G774" s="29">
        <v>2.5</v>
      </c>
      <c r="H774" s="29">
        <v>44.49</v>
      </c>
      <c r="I774" s="12">
        <v>12.73</v>
      </c>
      <c r="J774" s="12">
        <v>238.14</v>
      </c>
      <c r="K774" s="26">
        <v>47.82</v>
      </c>
      <c r="L774" s="12" t="s">
        <v>27</v>
      </c>
    </row>
    <row r="775" spans="1:12" x14ac:dyDescent="0.25">
      <c r="A775" s="17">
        <v>2023</v>
      </c>
      <c r="B775" s="17" t="s">
        <v>36</v>
      </c>
      <c r="C775" s="17" t="s">
        <v>22</v>
      </c>
      <c r="D775" s="17" t="s">
        <v>14</v>
      </c>
      <c r="E775" s="18">
        <v>22101</v>
      </c>
      <c r="F775" s="24">
        <v>45898246.390000001</v>
      </c>
      <c r="G775" s="30">
        <v>0.35</v>
      </c>
      <c r="H775" s="30">
        <v>38.79</v>
      </c>
      <c r="I775" s="17">
        <v>27.92</v>
      </c>
      <c r="J775" s="17">
        <v>77.87</v>
      </c>
      <c r="K775" s="27">
        <v>49.98</v>
      </c>
      <c r="L775" s="17" t="s">
        <v>27</v>
      </c>
    </row>
    <row r="776" spans="1:12" x14ac:dyDescent="0.25">
      <c r="A776" s="12">
        <v>2023</v>
      </c>
      <c r="B776" s="12" t="s">
        <v>36</v>
      </c>
      <c r="C776" s="12" t="s">
        <v>23</v>
      </c>
      <c r="D776" s="12" t="s">
        <v>24</v>
      </c>
      <c r="E776" s="13">
        <v>18578</v>
      </c>
      <c r="F776" s="23">
        <v>35842354.880000003</v>
      </c>
      <c r="G776" s="29">
        <v>5.27</v>
      </c>
      <c r="H776" s="29">
        <v>41.64</v>
      </c>
      <c r="I776" s="12">
        <v>13.95</v>
      </c>
      <c r="J776" s="12">
        <v>192.01</v>
      </c>
      <c r="K776" s="26">
        <v>73.64</v>
      </c>
      <c r="L776" s="12" t="s">
        <v>21</v>
      </c>
    </row>
    <row r="777" spans="1:12" x14ac:dyDescent="0.25">
      <c r="A777" s="17">
        <v>2023</v>
      </c>
      <c r="B777" s="17" t="s">
        <v>36</v>
      </c>
      <c r="C777" s="17" t="s">
        <v>25</v>
      </c>
      <c r="D777" s="17" t="s">
        <v>24</v>
      </c>
      <c r="E777" s="18">
        <v>63804</v>
      </c>
      <c r="F777" s="24">
        <v>26099538.280000001</v>
      </c>
      <c r="G777" s="30">
        <v>2.5299999999999998</v>
      </c>
      <c r="H777" s="30">
        <v>49.54</v>
      </c>
      <c r="I777" s="17">
        <v>36.479999999999997</v>
      </c>
      <c r="J777" s="17">
        <v>168.21</v>
      </c>
      <c r="K777" s="27">
        <v>88.53</v>
      </c>
      <c r="L777" s="17" t="s">
        <v>21</v>
      </c>
    </row>
    <row r="778" spans="1:12" x14ac:dyDescent="0.25">
      <c r="A778" s="12">
        <v>2023</v>
      </c>
      <c r="B778" s="12" t="s">
        <v>36</v>
      </c>
      <c r="C778" s="12" t="s">
        <v>26</v>
      </c>
      <c r="D778" s="12" t="s">
        <v>24</v>
      </c>
      <c r="E778" s="13">
        <v>60353</v>
      </c>
      <c r="F778" s="23">
        <v>10771600.5239999</v>
      </c>
      <c r="G778" s="29">
        <v>3.43</v>
      </c>
      <c r="H778" s="29">
        <v>67.709999999999994</v>
      </c>
      <c r="I778" s="12">
        <v>35.68</v>
      </c>
      <c r="J778" s="12">
        <v>79.34</v>
      </c>
      <c r="K778" s="26">
        <v>58.28</v>
      </c>
      <c r="L778" s="12" t="s">
        <v>21</v>
      </c>
    </row>
    <row r="779" spans="1:12" x14ac:dyDescent="0.25">
      <c r="A779" s="17">
        <v>2023</v>
      </c>
      <c r="B779" s="17" t="s">
        <v>36</v>
      </c>
      <c r="C779" s="17" t="s">
        <v>28</v>
      </c>
      <c r="D779" s="17" t="s">
        <v>24</v>
      </c>
      <c r="E779" s="18">
        <v>56014</v>
      </c>
      <c r="F779" s="24">
        <v>38203293.829999998</v>
      </c>
      <c r="G779" s="30">
        <v>5.04</v>
      </c>
      <c r="H779" s="30">
        <v>92.55</v>
      </c>
      <c r="I779" s="17">
        <v>22.12</v>
      </c>
      <c r="J779" s="17">
        <v>50.37</v>
      </c>
      <c r="K779" s="27">
        <v>45.65</v>
      </c>
      <c r="L779" s="17" t="s">
        <v>15</v>
      </c>
    </row>
    <row r="780" spans="1:12" x14ac:dyDescent="0.25">
      <c r="A780" s="12">
        <v>2023</v>
      </c>
      <c r="B780" s="12" t="s">
        <v>36</v>
      </c>
      <c r="C780" s="12" t="s">
        <v>29</v>
      </c>
      <c r="D780" s="12" t="s">
        <v>24</v>
      </c>
      <c r="E780" s="13">
        <v>30009</v>
      </c>
      <c r="F780" s="23">
        <v>27935761.68</v>
      </c>
      <c r="G780" s="29">
        <v>5.49</v>
      </c>
      <c r="H780" s="29">
        <v>48.11</v>
      </c>
      <c r="I780" s="12">
        <v>22.61</v>
      </c>
      <c r="J780" s="12">
        <v>157</v>
      </c>
      <c r="K780" s="26">
        <v>94.16</v>
      </c>
      <c r="L780" s="12" t="s">
        <v>27</v>
      </c>
    </row>
    <row r="781" spans="1:12" x14ac:dyDescent="0.25">
      <c r="A781" s="17">
        <v>2023</v>
      </c>
      <c r="B781" s="17" t="s">
        <v>36</v>
      </c>
      <c r="C781" s="17" t="s">
        <v>30</v>
      </c>
      <c r="D781" s="17" t="s">
        <v>24</v>
      </c>
      <c r="E781" s="18">
        <v>11176</v>
      </c>
      <c r="F781" s="24">
        <v>41387013.969999999</v>
      </c>
      <c r="G781" s="30">
        <v>6.52</v>
      </c>
      <c r="H781" s="30">
        <v>59.53</v>
      </c>
      <c r="I781" s="17">
        <v>7.3599999999999897</v>
      </c>
      <c r="J781" s="17">
        <v>246.52</v>
      </c>
      <c r="K781" s="27">
        <v>46.97</v>
      </c>
      <c r="L781" s="17" t="s">
        <v>21</v>
      </c>
    </row>
    <row r="782" spans="1:12" x14ac:dyDescent="0.25">
      <c r="A782" s="12">
        <v>2023</v>
      </c>
      <c r="B782" s="12" t="s">
        <v>36</v>
      </c>
      <c r="C782" s="12" t="s">
        <v>31</v>
      </c>
      <c r="D782" s="12" t="s">
        <v>24</v>
      </c>
      <c r="E782" s="13">
        <v>35816</v>
      </c>
      <c r="F782" s="23">
        <v>11652906.140000001</v>
      </c>
      <c r="G782" s="29">
        <v>6.83</v>
      </c>
      <c r="H782" s="29">
        <v>52.51</v>
      </c>
      <c r="I782" s="12">
        <v>23.96</v>
      </c>
      <c r="J782" s="12">
        <v>85.44</v>
      </c>
      <c r="K782" s="26">
        <v>54.57</v>
      </c>
      <c r="L782" s="12" t="s">
        <v>21</v>
      </c>
    </row>
    <row r="783" spans="1:12" x14ac:dyDescent="0.25">
      <c r="A783" s="17">
        <v>2023</v>
      </c>
      <c r="B783" s="17" t="s">
        <v>36</v>
      </c>
      <c r="C783" s="17" t="s">
        <v>32</v>
      </c>
      <c r="D783" s="17" t="s">
        <v>24</v>
      </c>
      <c r="E783" s="18">
        <v>51399</v>
      </c>
      <c r="F783" s="24">
        <v>42332669.411999904</v>
      </c>
      <c r="G783" s="30">
        <v>4.71</v>
      </c>
      <c r="H783" s="30">
        <v>77.37</v>
      </c>
      <c r="I783" s="17">
        <v>33.159999999999997</v>
      </c>
      <c r="J783" s="17">
        <v>212.73</v>
      </c>
      <c r="K783" s="27">
        <v>87.94</v>
      </c>
      <c r="L783" s="17" t="s">
        <v>17</v>
      </c>
    </row>
    <row r="784" spans="1:12" x14ac:dyDescent="0.25">
      <c r="A784" s="12">
        <v>2023</v>
      </c>
      <c r="B784" s="12" t="s">
        <v>36</v>
      </c>
      <c r="C784" s="12" t="s">
        <v>33</v>
      </c>
      <c r="D784" s="12" t="s">
        <v>24</v>
      </c>
      <c r="E784" s="13">
        <v>25724</v>
      </c>
      <c r="F784" s="23">
        <v>4967036.6160000004</v>
      </c>
      <c r="G784" s="29">
        <v>2.8</v>
      </c>
      <c r="H784" s="29">
        <v>102.38</v>
      </c>
      <c r="I784" s="12">
        <v>45.67</v>
      </c>
      <c r="J784" s="12">
        <v>52.28</v>
      </c>
      <c r="K784" s="26">
        <v>75.87</v>
      </c>
      <c r="L784" s="12" t="s">
        <v>15</v>
      </c>
    </row>
    <row r="785" spans="1:12" x14ac:dyDescent="0.25">
      <c r="A785" s="17">
        <v>2023</v>
      </c>
      <c r="B785" s="17" t="s">
        <v>36</v>
      </c>
      <c r="C785" s="17" t="s">
        <v>34</v>
      </c>
      <c r="D785" s="17" t="s">
        <v>24</v>
      </c>
      <c r="E785" s="18">
        <v>19229</v>
      </c>
      <c r="F785" s="24">
        <v>37535867.520000003</v>
      </c>
      <c r="G785" s="30">
        <v>6.95</v>
      </c>
      <c r="H785" s="30">
        <v>71.89</v>
      </c>
      <c r="I785" s="17">
        <v>44.75</v>
      </c>
      <c r="J785" s="17">
        <v>122.87</v>
      </c>
      <c r="K785" s="27">
        <v>91.72</v>
      </c>
      <c r="L785" s="17" t="s">
        <v>17</v>
      </c>
    </row>
    <row r="786" spans="1:12" x14ac:dyDescent="0.25">
      <c r="A786" s="12">
        <v>2023</v>
      </c>
      <c r="B786" s="12" t="s">
        <v>37</v>
      </c>
      <c r="C786" s="12" t="s">
        <v>13</v>
      </c>
      <c r="D786" s="12" t="s">
        <v>14</v>
      </c>
      <c r="E786" s="13">
        <v>40560</v>
      </c>
      <c r="F786" s="23">
        <v>10240842.15</v>
      </c>
      <c r="G786" s="29">
        <v>1.06</v>
      </c>
      <c r="H786" s="29">
        <v>40.090000000000003</v>
      </c>
      <c r="I786" s="12">
        <v>30.86</v>
      </c>
      <c r="J786" s="12">
        <v>154.81</v>
      </c>
      <c r="K786" s="26">
        <v>68.239999999999995</v>
      </c>
      <c r="L786" s="12" t="s">
        <v>21</v>
      </c>
    </row>
    <row r="787" spans="1:12" x14ac:dyDescent="0.25">
      <c r="A787" s="17">
        <v>2023</v>
      </c>
      <c r="B787" s="17" t="s">
        <v>37</v>
      </c>
      <c r="C787" s="17" t="s">
        <v>16</v>
      </c>
      <c r="D787" s="17" t="s">
        <v>14</v>
      </c>
      <c r="E787" s="18">
        <v>35697</v>
      </c>
      <c r="F787" s="24">
        <v>19462564.98</v>
      </c>
      <c r="G787" s="30">
        <v>2.4900000000000002</v>
      </c>
      <c r="H787" s="30">
        <v>36.549999999999997</v>
      </c>
      <c r="I787" s="17">
        <v>36.44</v>
      </c>
      <c r="J787" s="17">
        <v>236.39</v>
      </c>
      <c r="K787" s="27">
        <v>47.11</v>
      </c>
      <c r="L787" s="17" t="s">
        <v>21</v>
      </c>
    </row>
    <row r="788" spans="1:12" x14ac:dyDescent="0.25">
      <c r="A788" s="12">
        <v>2023</v>
      </c>
      <c r="B788" s="12" t="s">
        <v>37</v>
      </c>
      <c r="C788" s="12" t="s">
        <v>18</v>
      </c>
      <c r="D788" s="12" t="s">
        <v>14</v>
      </c>
      <c r="E788" s="13">
        <v>47421</v>
      </c>
      <c r="F788" s="23">
        <v>4828393.0619999999</v>
      </c>
      <c r="G788" s="29">
        <v>0.34</v>
      </c>
      <c r="H788" s="29">
        <v>69.319999999999993</v>
      </c>
      <c r="I788" s="12">
        <v>14.16</v>
      </c>
      <c r="J788" s="12">
        <v>174.21</v>
      </c>
      <c r="K788" s="26">
        <v>73.78</v>
      </c>
      <c r="L788" s="12" t="s">
        <v>17</v>
      </c>
    </row>
    <row r="789" spans="1:12" x14ac:dyDescent="0.25">
      <c r="A789" s="17">
        <v>2023</v>
      </c>
      <c r="B789" s="17" t="s">
        <v>37</v>
      </c>
      <c r="C789" s="17" t="s">
        <v>20</v>
      </c>
      <c r="D789" s="17" t="s">
        <v>14</v>
      </c>
      <c r="E789" s="18">
        <v>36328</v>
      </c>
      <c r="F789" s="24">
        <v>33957658.93</v>
      </c>
      <c r="G789" s="30">
        <v>1.68</v>
      </c>
      <c r="H789" s="30">
        <v>25.34</v>
      </c>
      <c r="I789" s="17">
        <v>10.88</v>
      </c>
      <c r="J789" s="17">
        <v>248.93</v>
      </c>
      <c r="K789" s="27">
        <v>80.819999999999993</v>
      </c>
      <c r="L789" s="17" t="s">
        <v>19</v>
      </c>
    </row>
    <row r="790" spans="1:12" x14ac:dyDescent="0.25">
      <c r="A790" s="12">
        <v>2023</v>
      </c>
      <c r="B790" s="12" t="s">
        <v>37</v>
      </c>
      <c r="C790" s="12" t="s">
        <v>22</v>
      </c>
      <c r="D790" s="12" t="s">
        <v>14</v>
      </c>
      <c r="E790" s="13">
        <v>7177</v>
      </c>
      <c r="F790" s="23">
        <v>12756979.869999999</v>
      </c>
      <c r="G790" s="29">
        <v>3.84</v>
      </c>
      <c r="H790" s="29">
        <v>83.21</v>
      </c>
      <c r="I790" s="12">
        <v>46.58</v>
      </c>
      <c r="J790" s="12">
        <v>244.75</v>
      </c>
      <c r="K790" s="26">
        <v>58.59</v>
      </c>
      <c r="L790" s="12" t="s">
        <v>17</v>
      </c>
    </row>
    <row r="791" spans="1:12" x14ac:dyDescent="0.25">
      <c r="A791" s="17">
        <v>2023</v>
      </c>
      <c r="B791" s="17" t="s">
        <v>37</v>
      </c>
      <c r="C791" s="17" t="s">
        <v>23</v>
      </c>
      <c r="D791" s="17" t="s">
        <v>24</v>
      </c>
      <c r="E791" s="18">
        <v>26543</v>
      </c>
      <c r="F791" s="24">
        <v>22616882.710000001</v>
      </c>
      <c r="G791" s="30">
        <v>6.92</v>
      </c>
      <c r="H791" s="30">
        <v>47.63</v>
      </c>
      <c r="I791" s="17">
        <v>35.93</v>
      </c>
      <c r="J791" s="17">
        <v>142.99</v>
      </c>
      <c r="K791" s="27">
        <v>65.489999999999995</v>
      </c>
      <c r="L791" s="17" t="s">
        <v>27</v>
      </c>
    </row>
    <row r="792" spans="1:12" x14ac:dyDescent="0.25">
      <c r="A792" s="12">
        <v>2023</v>
      </c>
      <c r="B792" s="12" t="s">
        <v>37</v>
      </c>
      <c r="C792" s="12" t="s">
        <v>25</v>
      </c>
      <c r="D792" s="12" t="s">
        <v>24</v>
      </c>
      <c r="E792" s="13">
        <v>56191</v>
      </c>
      <c r="F792" s="23">
        <v>12240588.060000001</v>
      </c>
      <c r="G792" s="29">
        <v>6.71</v>
      </c>
      <c r="H792" s="29">
        <v>72.16</v>
      </c>
      <c r="I792" s="12">
        <v>7.12</v>
      </c>
      <c r="J792" s="12">
        <v>152.26</v>
      </c>
      <c r="K792" s="26">
        <v>87.72</v>
      </c>
      <c r="L792" s="12" t="s">
        <v>15</v>
      </c>
    </row>
    <row r="793" spans="1:12" x14ac:dyDescent="0.25">
      <c r="A793" s="17">
        <v>2023</v>
      </c>
      <c r="B793" s="17" t="s">
        <v>37</v>
      </c>
      <c r="C793" s="17" t="s">
        <v>26</v>
      </c>
      <c r="D793" s="17" t="s">
        <v>24</v>
      </c>
      <c r="E793" s="18">
        <v>31159</v>
      </c>
      <c r="F793" s="24">
        <v>41780958.789999999</v>
      </c>
      <c r="G793" s="30">
        <v>4.5599999999999996</v>
      </c>
      <c r="H793" s="30">
        <v>79.39</v>
      </c>
      <c r="I793" s="17">
        <v>20.12</v>
      </c>
      <c r="J793" s="17">
        <v>294.91000000000003</v>
      </c>
      <c r="K793" s="27">
        <v>53.57</v>
      </c>
      <c r="L793" s="17" t="s">
        <v>19</v>
      </c>
    </row>
    <row r="794" spans="1:12" x14ac:dyDescent="0.25">
      <c r="A794" s="12">
        <v>2023</v>
      </c>
      <c r="B794" s="12" t="s">
        <v>37</v>
      </c>
      <c r="C794" s="12" t="s">
        <v>28</v>
      </c>
      <c r="D794" s="12" t="s">
        <v>24</v>
      </c>
      <c r="E794" s="13">
        <v>61064</v>
      </c>
      <c r="F794" s="23">
        <v>65387195.350000001</v>
      </c>
      <c r="G794" s="29">
        <v>5.49</v>
      </c>
      <c r="H794" s="29">
        <v>85.64</v>
      </c>
      <c r="I794" s="12">
        <v>26.68</v>
      </c>
      <c r="J794" s="12">
        <v>170.74</v>
      </c>
      <c r="K794" s="26">
        <v>59.27</v>
      </c>
      <c r="L794" s="12" t="s">
        <v>15</v>
      </c>
    </row>
    <row r="795" spans="1:12" x14ac:dyDescent="0.25">
      <c r="A795" s="17">
        <v>2023</v>
      </c>
      <c r="B795" s="17" t="s">
        <v>37</v>
      </c>
      <c r="C795" s="17" t="s">
        <v>29</v>
      </c>
      <c r="D795" s="17" t="s">
        <v>24</v>
      </c>
      <c r="E795" s="18">
        <v>34138</v>
      </c>
      <c r="F795" s="24">
        <v>54539172.82</v>
      </c>
      <c r="G795" s="30">
        <v>5.92</v>
      </c>
      <c r="H795" s="30">
        <v>98.31</v>
      </c>
      <c r="I795" s="17">
        <v>21.34</v>
      </c>
      <c r="J795" s="17">
        <v>195.17</v>
      </c>
      <c r="K795" s="27">
        <v>79.73</v>
      </c>
      <c r="L795" s="17" t="s">
        <v>15</v>
      </c>
    </row>
    <row r="796" spans="1:12" x14ac:dyDescent="0.25">
      <c r="A796" s="12">
        <v>2023</v>
      </c>
      <c r="B796" s="12" t="s">
        <v>37</v>
      </c>
      <c r="C796" s="12" t="s">
        <v>30</v>
      </c>
      <c r="D796" s="12" t="s">
        <v>24</v>
      </c>
      <c r="E796" s="13">
        <v>36216</v>
      </c>
      <c r="F796" s="23">
        <v>29959374.23</v>
      </c>
      <c r="G796" s="29">
        <v>3.82</v>
      </c>
      <c r="H796" s="29">
        <v>70.59</v>
      </c>
      <c r="I796" s="12">
        <v>46.92</v>
      </c>
      <c r="J796" s="12">
        <v>177.43</v>
      </c>
      <c r="K796" s="26">
        <v>63.86</v>
      </c>
      <c r="L796" s="12" t="s">
        <v>17</v>
      </c>
    </row>
    <row r="797" spans="1:12" x14ac:dyDescent="0.25">
      <c r="A797" s="17">
        <v>2023</v>
      </c>
      <c r="B797" s="17" t="s">
        <v>37</v>
      </c>
      <c r="C797" s="17" t="s">
        <v>31</v>
      </c>
      <c r="D797" s="17" t="s">
        <v>24</v>
      </c>
      <c r="E797" s="18">
        <v>56470</v>
      </c>
      <c r="F797" s="24">
        <v>29368072.66</v>
      </c>
      <c r="G797" s="30">
        <v>5.15</v>
      </c>
      <c r="H797" s="30">
        <v>71.88</v>
      </c>
      <c r="I797" s="17">
        <v>21.15</v>
      </c>
      <c r="J797" s="17">
        <v>192.3</v>
      </c>
      <c r="K797" s="27">
        <v>46.87</v>
      </c>
      <c r="L797" s="17" t="s">
        <v>21</v>
      </c>
    </row>
    <row r="798" spans="1:12" x14ac:dyDescent="0.25">
      <c r="A798" s="12">
        <v>2023</v>
      </c>
      <c r="B798" s="12" t="s">
        <v>37</v>
      </c>
      <c r="C798" s="12" t="s">
        <v>32</v>
      </c>
      <c r="D798" s="12" t="s">
        <v>24</v>
      </c>
      <c r="E798" s="13">
        <v>50544</v>
      </c>
      <c r="F798" s="23">
        <v>43782286.43</v>
      </c>
      <c r="G798" s="29">
        <v>4.6399999999999997</v>
      </c>
      <c r="H798" s="29">
        <v>96.7</v>
      </c>
      <c r="I798" s="12">
        <v>13.78</v>
      </c>
      <c r="J798" s="12">
        <v>184.26</v>
      </c>
      <c r="K798" s="26">
        <v>51.56</v>
      </c>
      <c r="L798" s="12" t="s">
        <v>21</v>
      </c>
    </row>
    <row r="799" spans="1:12" x14ac:dyDescent="0.25">
      <c r="A799" s="17">
        <v>2023</v>
      </c>
      <c r="B799" s="17" t="s">
        <v>37</v>
      </c>
      <c r="C799" s="17" t="s">
        <v>33</v>
      </c>
      <c r="D799" s="17" t="s">
        <v>24</v>
      </c>
      <c r="E799" s="18">
        <v>8752</v>
      </c>
      <c r="F799" s="24">
        <v>38989375.219999999</v>
      </c>
      <c r="G799" s="30">
        <v>2.66</v>
      </c>
      <c r="H799" s="30">
        <v>83.21</v>
      </c>
      <c r="I799" s="17">
        <v>28.99</v>
      </c>
      <c r="J799" s="17">
        <v>286.82</v>
      </c>
      <c r="K799" s="27">
        <v>62.63</v>
      </c>
      <c r="L799" s="17" t="s">
        <v>27</v>
      </c>
    </row>
    <row r="800" spans="1:12" x14ac:dyDescent="0.25">
      <c r="A800" s="12">
        <v>2023</v>
      </c>
      <c r="B800" s="12" t="s">
        <v>37</v>
      </c>
      <c r="C800" s="12" t="s">
        <v>34</v>
      </c>
      <c r="D800" s="12" t="s">
        <v>24</v>
      </c>
      <c r="E800" s="13">
        <v>52161</v>
      </c>
      <c r="F800" s="23">
        <v>28251610.309999999</v>
      </c>
      <c r="G800" s="29">
        <v>4.47</v>
      </c>
      <c r="H800" s="29">
        <v>63.99</v>
      </c>
      <c r="I800" s="12">
        <v>48.56</v>
      </c>
      <c r="J800" s="12">
        <v>255.02</v>
      </c>
      <c r="K800" s="26">
        <v>48.38</v>
      </c>
      <c r="L800" s="12" t="s">
        <v>19</v>
      </c>
    </row>
    <row r="801" spans="1:12" x14ac:dyDescent="0.25">
      <c r="A801" s="17">
        <v>2023</v>
      </c>
      <c r="B801" s="17" t="s">
        <v>35</v>
      </c>
      <c r="C801" s="17" t="s">
        <v>18</v>
      </c>
      <c r="D801" s="17" t="s">
        <v>14</v>
      </c>
      <c r="E801" s="18">
        <v>24787</v>
      </c>
      <c r="F801" s="24">
        <v>11158722.59</v>
      </c>
      <c r="G801" s="30">
        <v>2.93</v>
      </c>
      <c r="H801" s="30">
        <v>73.150000000000006</v>
      </c>
      <c r="I801" s="17">
        <v>29.28</v>
      </c>
      <c r="J801" s="17">
        <v>138</v>
      </c>
      <c r="K801" s="27">
        <v>68.94</v>
      </c>
      <c r="L801" s="17" t="s">
        <v>27</v>
      </c>
    </row>
    <row r="802" spans="1:12" x14ac:dyDescent="0.25">
      <c r="A802" s="12">
        <v>2023</v>
      </c>
      <c r="B802" s="12" t="s">
        <v>37</v>
      </c>
      <c r="C802" s="12" t="s">
        <v>18</v>
      </c>
      <c r="D802" s="12" t="s">
        <v>14</v>
      </c>
      <c r="E802" s="13">
        <v>47421</v>
      </c>
      <c r="F802" s="23">
        <v>4828393.0619999999</v>
      </c>
      <c r="G802" s="29">
        <v>0.34</v>
      </c>
      <c r="H802" s="29">
        <v>69.319999999999993</v>
      </c>
      <c r="I802" s="12">
        <v>14.16</v>
      </c>
      <c r="J802" s="12">
        <v>174.21</v>
      </c>
      <c r="K802" s="26">
        <v>73.78</v>
      </c>
      <c r="L802" s="12" t="s">
        <v>17</v>
      </c>
    </row>
    <row r="803" spans="1:12" x14ac:dyDescent="0.25">
      <c r="A803" s="17">
        <v>2023</v>
      </c>
      <c r="B803" s="17" t="s">
        <v>12</v>
      </c>
      <c r="C803" s="17" t="s">
        <v>20</v>
      </c>
      <c r="D803" s="17" t="s">
        <v>14</v>
      </c>
      <c r="E803" s="18">
        <v>41459</v>
      </c>
      <c r="F803" s="24">
        <v>13687954.880000001</v>
      </c>
      <c r="G803" s="30">
        <v>-0.11</v>
      </c>
      <c r="H803" s="30">
        <v>62.18</v>
      </c>
      <c r="I803" s="17">
        <v>11.77</v>
      </c>
      <c r="J803" s="17">
        <v>287.5</v>
      </c>
      <c r="K803" s="27">
        <v>41.54</v>
      </c>
      <c r="L803" s="17" t="s">
        <v>17</v>
      </c>
    </row>
    <row r="804" spans="1:12" x14ac:dyDescent="0.25">
      <c r="A804" s="12">
        <v>2023</v>
      </c>
      <c r="B804" s="12" t="s">
        <v>12</v>
      </c>
      <c r="C804" s="12" t="s">
        <v>25</v>
      </c>
      <c r="D804" s="12" t="s">
        <v>24</v>
      </c>
      <c r="E804" s="13">
        <v>35503</v>
      </c>
      <c r="F804" s="23">
        <v>31844795.27</v>
      </c>
      <c r="G804" s="29">
        <v>3.87</v>
      </c>
      <c r="H804" s="29">
        <v>85.47</v>
      </c>
      <c r="I804" s="12">
        <v>48.17</v>
      </c>
      <c r="J804" s="12">
        <v>262.83999999999997</v>
      </c>
      <c r="K804" s="26">
        <v>68</v>
      </c>
      <c r="L804" s="12" t="s">
        <v>15</v>
      </c>
    </row>
    <row r="805" spans="1:12" x14ac:dyDescent="0.25">
      <c r="A805" s="17">
        <v>2023</v>
      </c>
      <c r="B805" s="17" t="s">
        <v>37</v>
      </c>
      <c r="C805" s="17" t="s">
        <v>29</v>
      </c>
      <c r="D805" s="17" t="s">
        <v>24</v>
      </c>
      <c r="E805" s="18">
        <v>34138</v>
      </c>
      <c r="F805" s="24">
        <v>54539172.82</v>
      </c>
      <c r="G805" s="30">
        <v>5.92</v>
      </c>
      <c r="H805" s="30">
        <v>98.31</v>
      </c>
      <c r="I805" s="17">
        <v>21.34</v>
      </c>
      <c r="J805" s="17">
        <v>195.17</v>
      </c>
      <c r="K805" s="27">
        <v>79.73</v>
      </c>
      <c r="L805" s="17" t="s">
        <v>15</v>
      </c>
    </row>
    <row r="806" spans="1:12" x14ac:dyDescent="0.25">
      <c r="A806" s="12">
        <v>2023</v>
      </c>
      <c r="B806" s="12" t="s">
        <v>36</v>
      </c>
      <c r="C806" s="12" t="s">
        <v>16</v>
      </c>
      <c r="D806" s="12" t="s">
        <v>14</v>
      </c>
      <c r="E806" s="13">
        <v>14799</v>
      </c>
      <c r="F806" s="23">
        <v>4874859.7379999999</v>
      </c>
      <c r="G806" s="29">
        <v>3.39</v>
      </c>
      <c r="H806" s="29">
        <v>49.36</v>
      </c>
      <c r="I806" s="12">
        <v>15.579999999999901</v>
      </c>
      <c r="J806" s="12">
        <v>220.38</v>
      </c>
      <c r="K806" s="26">
        <v>51.94</v>
      </c>
      <c r="L806" s="12" t="s">
        <v>19</v>
      </c>
    </row>
    <row r="807" spans="1:12" x14ac:dyDescent="0.25">
      <c r="A807" s="17">
        <v>2023</v>
      </c>
      <c r="B807" s="17" t="s">
        <v>35</v>
      </c>
      <c r="C807" s="17" t="s">
        <v>20</v>
      </c>
      <c r="D807" s="17" t="s">
        <v>14</v>
      </c>
      <c r="E807" s="18">
        <v>40418</v>
      </c>
      <c r="F807" s="24">
        <v>32030342.59</v>
      </c>
      <c r="G807" s="30">
        <v>1.77999999999999</v>
      </c>
      <c r="H807" s="30">
        <v>61.9</v>
      </c>
      <c r="I807" s="17">
        <v>24.69</v>
      </c>
      <c r="J807" s="17">
        <v>160.97999999999999</v>
      </c>
      <c r="K807" s="27">
        <v>45.26</v>
      </c>
      <c r="L807" s="17" t="s">
        <v>21</v>
      </c>
    </row>
    <row r="808" spans="1:12" x14ac:dyDescent="0.25">
      <c r="A808" s="12">
        <v>2023</v>
      </c>
      <c r="B808" s="12" t="s">
        <v>36</v>
      </c>
      <c r="C808" s="12" t="s">
        <v>23</v>
      </c>
      <c r="D808" s="12" t="s">
        <v>24</v>
      </c>
      <c r="E808" s="13">
        <v>18578</v>
      </c>
      <c r="F808" s="23">
        <v>35842354.880000003</v>
      </c>
      <c r="G808" s="29">
        <v>5.27</v>
      </c>
      <c r="H808" s="29">
        <v>41.64</v>
      </c>
      <c r="I808" s="12">
        <v>13.95</v>
      </c>
      <c r="J808" s="12">
        <v>192.01</v>
      </c>
      <c r="K808" s="26">
        <v>73.64</v>
      </c>
      <c r="L808" s="12" t="s">
        <v>21</v>
      </c>
    </row>
    <row r="809" spans="1:12" x14ac:dyDescent="0.25">
      <c r="A809" s="17">
        <v>2023</v>
      </c>
      <c r="B809" s="17" t="s">
        <v>35</v>
      </c>
      <c r="C809" s="17" t="s">
        <v>18</v>
      </c>
      <c r="D809" s="17" t="s">
        <v>14</v>
      </c>
      <c r="E809" s="18">
        <v>24787</v>
      </c>
      <c r="F809" s="24">
        <v>11158722.59</v>
      </c>
      <c r="G809" s="30">
        <v>2.93</v>
      </c>
      <c r="H809" s="30">
        <v>73.150000000000006</v>
      </c>
      <c r="I809" s="17">
        <v>29.28</v>
      </c>
      <c r="J809" s="17">
        <v>138</v>
      </c>
      <c r="K809" s="27">
        <v>68.94</v>
      </c>
      <c r="L809" s="17" t="s">
        <v>27</v>
      </c>
    </row>
    <row r="810" spans="1:12" x14ac:dyDescent="0.25">
      <c r="A810" s="12">
        <v>2023</v>
      </c>
      <c r="B810" s="12" t="s">
        <v>12</v>
      </c>
      <c r="C810" s="12" t="s">
        <v>16</v>
      </c>
      <c r="D810" s="12" t="s">
        <v>14</v>
      </c>
      <c r="E810" s="13">
        <v>14664</v>
      </c>
      <c r="F810" s="23">
        <v>15195950.99</v>
      </c>
      <c r="G810" s="29">
        <v>1.66</v>
      </c>
      <c r="H810" s="29">
        <v>62.66</v>
      </c>
      <c r="I810" s="12">
        <v>1.47</v>
      </c>
      <c r="J810" s="12">
        <v>171.98</v>
      </c>
      <c r="K810" s="26">
        <v>74.11</v>
      </c>
      <c r="L810" s="12" t="s">
        <v>21</v>
      </c>
    </row>
    <row r="811" spans="1:12" x14ac:dyDescent="0.25">
      <c r="A811" s="17">
        <v>2023</v>
      </c>
      <c r="B811" s="17" t="s">
        <v>35</v>
      </c>
      <c r="C811" s="17" t="s">
        <v>13</v>
      </c>
      <c r="D811" s="17" t="s">
        <v>14</v>
      </c>
      <c r="E811" s="18">
        <v>28445</v>
      </c>
      <c r="F811" s="24">
        <v>23846107.199999999</v>
      </c>
      <c r="G811" s="30">
        <v>3.99</v>
      </c>
      <c r="H811" s="30">
        <v>46.8</v>
      </c>
      <c r="I811" s="17">
        <v>37.909999999999997</v>
      </c>
      <c r="J811" s="17">
        <v>175.6</v>
      </c>
      <c r="K811" s="27">
        <v>66.599999999999994</v>
      </c>
      <c r="L811" s="17" t="s">
        <v>27</v>
      </c>
    </row>
    <row r="812" spans="1:12" x14ac:dyDescent="0.25">
      <c r="A812" s="12">
        <v>2023</v>
      </c>
      <c r="B812" s="12" t="s">
        <v>37</v>
      </c>
      <c r="C812" s="12" t="s">
        <v>29</v>
      </c>
      <c r="D812" s="12" t="s">
        <v>24</v>
      </c>
      <c r="E812" s="13">
        <v>34138</v>
      </c>
      <c r="F812" s="23">
        <v>54539172.82</v>
      </c>
      <c r="G812" s="29">
        <v>5.92</v>
      </c>
      <c r="H812" s="29">
        <v>98.31</v>
      </c>
      <c r="I812" s="12">
        <v>21.34</v>
      </c>
      <c r="J812" s="12">
        <v>195.17</v>
      </c>
      <c r="K812" s="26">
        <v>79.73</v>
      </c>
      <c r="L812" s="12" t="s">
        <v>15</v>
      </c>
    </row>
    <row r="813" spans="1:12" x14ac:dyDescent="0.25">
      <c r="A813" s="17">
        <v>2023</v>
      </c>
      <c r="B813" s="17" t="s">
        <v>36</v>
      </c>
      <c r="C813" s="17" t="s">
        <v>29</v>
      </c>
      <c r="D813" s="17" t="s">
        <v>24</v>
      </c>
      <c r="E813" s="18">
        <v>30009</v>
      </c>
      <c r="F813" s="24">
        <v>27935761.68</v>
      </c>
      <c r="G813" s="30">
        <v>5.49</v>
      </c>
      <c r="H813" s="30">
        <v>48.11</v>
      </c>
      <c r="I813" s="17">
        <v>22.61</v>
      </c>
      <c r="J813" s="17">
        <v>157</v>
      </c>
      <c r="K813" s="27">
        <v>94.16</v>
      </c>
      <c r="L813" s="17" t="s">
        <v>27</v>
      </c>
    </row>
    <row r="814" spans="1:12" x14ac:dyDescent="0.25">
      <c r="A814" s="12">
        <v>2023</v>
      </c>
      <c r="B814" s="12" t="s">
        <v>36</v>
      </c>
      <c r="C814" s="12" t="s">
        <v>32</v>
      </c>
      <c r="D814" s="12" t="s">
        <v>24</v>
      </c>
      <c r="E814" s="13">
        <v>51399</v>
      </c>
      <c r="F814" s="23">
        <v>42332669.411999904</v>
      </c>
      <c r="G814" s="29">
        <v>4.71</v>
      </c>
      <c r="H814" s="29">
        <v>77.37</v>
      </c>
      <c r="I814" s="12">
        <v>33.159999999999997</v>
      </c>
      <c r="J814" s="12">
        <v>212.73</v>
      </c>
      <c r="K814" s="26">
        <v>87.94</v>
      </c>
      <c r="L814" s="12" t="s">
        <v>17</v>
      </c>
    </row>
    <row r="815" spans="1:12" x14ac:dyDescent="0.25">
      <c r="A815" s="17">
        <v>2023</v>
      </c>
      <c r="B815" s="17" t="s">
        <v>36</v>
      </c>
      <c r="C815" s="17" t="s">
        <v>23</v>
      </c>
      <c r="D815" s="17" t="s">
        <v>24</v>
      </c>
      <c r="E815" s="18">
        <v>18578</v>
      </c>
      <c r="F815" s="24">
        <v>35842354.880000003</v>
      </c>
      <c r="G815" s="30">
        <v>5.27</v>
      </c>
      <c r="H815" s="30">
        <v>41.64</v>
      </c>
      <c r="I815" s="17">
        <v>13.95</v>
      </c>
      <c r="J815" s="17">
        <v>192.01</v>
      </c>
      <c r="K815" s="27">
        <v>73.64</v>
      </c>
      <c r="L815" s="17" t="s">
        <v>21</v>
      </c>
    </row>
    <row r="816" spans="1:12" x14ac:dyDescent="0.25">
      <c r="A816" s="12">
        <v>2023</v>
      </c>
      <c r="B816" s="12" t="s">
        <v>35</v>
      </c>
      <c r="C816" s="12" t="s">
        <v>20</v>
      </c>
      <c r="D816" s="12" t="s">
        <v>14</v>
      </c>
      <c r="E816" s="13">
        <v>40418</v>
      </c>
      <c r="F816" s="23">
        <v>32030342.59</v>
      </c>
      <c r="G816" s="29">
        <v>1.77999999999999</v>
      </c>
      <c r="H816" s="29">
        <v>61.9</v>
      </c>
      <c r="I816" s="12">
        <v>24.69</v>
      </c>
      <c r="J816" s="12">
        <v>160.97999999999999</v>
      </c>
      <c r="K816" s="26">
        <v>45.26</v>
      </c>
      <c r="L816" s="12" t="s">
        <v>21</v>
      </c>
    </row>
    <row r="817" spans="1:12" x14ac:dyDescent="0.25">
      <c r="A817" s="17">
        <v>2023</v>
      </c>
      <c r="B817" s="17" t="s">
        <v>12</v>
      </c>
      <c r="C817" s="17" t="s">
        <v>25</v>
      </c>
      <c r="D817" s="17" t="s">
        <v>24</v>
      </c>
      <c r="E817" s="18">
        <v>35503</v>
      </c>
      <c r="F817" s="24">
        <v>31844795.27</v>
      </c>
      <c r="G817" s="30">
        <v>3.87</v>
      </c>
      <c r="H817" s="30">
        <v>85.47</v>
      </c>
      <c r="I817" s="17">
        <v>48.17</v>
      </c>
      <c r="J817" s="17">
        <v>262.83999999999997</v>
      </c>
      <c r="K817" s="27">
        <v>68</v>
      </c>
      <c r="L817" s="17" t="s">
        <v>15</v>
      </c>
    </row>
    <row r="818" spans="1:12" x14ac:dyDescent="0.25">
      <c r="A818" s="12">
        <v>2023</v>
      </c>
      <c r="B818" s="12" t="s">
        <v>36</v>
      </c>
      <c r="C818" s="12" t="s">
        <v>31</v>
      </c>
      <c r="D818" s="12" t="s">
        <v>24</v>
      </c>
      <c r="E818" s="13">
        <v>35816</v>
      </c>
      <c r="F818" s="23">
        <v>11652906.140000001</v>
      </c>
      <c r="G818" s="29">
        <v>6.83</v>
      </c>
      <c r="H818" s="29">
        <v>52.51</v>
      </c>
      <c r="I818" s="12">
        <v>23.96</v>
      </c>
      <c r="J818" s="12">
        <v>85.44</v>
      </c>
      <c r="K818" s="26">
        <v>54.57</v>
      </c>
      <c r="L818" s="12" t="s">
        <v>21</v>
      </c>
    </row>
    <row r="819" spans="1:12" x14ac:dyDescent="0.25">
      <c r="A819" s="17">
        <v>2023</v>
      </c>
      <c r="B819" s="17" t="s">
        <v>12</v>
      </c>
      <c r="C819" s="17" t="s">
        <v>30</v>
      </c>
      <c r="D819" s="17" t="s">
        <v>24</v>
      </c>
      <c r="E819" s="18">
        <v>25428</v>
      </c>
      <c r="F819" s="24">
        <v>41184238.579999998</v>
      </c>
      <c r="G819" s="30">
        <v>4.9000000000000004</v>
      </c>
      <c r="H819" s="30">
        <v>78.09</v>
      </c>
      <c r="I819" s="17">
        <v>24.18</v>
      </c>
      <c r="J819" s="17">
        <v>262.01</v>
      </c>
      <c r="K819" s="27">
        <v>54.8</v>
      </c>
      <c r="L819" s="17" t="s">
        <v>21</v>
      </c>
    </row>
    <row r="820" spans="1:12" x14ac:dyDescent="0.25">
      <c r="A820" s="12">
        <v>2023</v>
      </c>
      <c r="B820" s="12" t="s">
        <v>37</v>
      </c>
      <c r="C820" s="12" t="s">
        <v>28</v>
      </c>
      <c r="D820" s="12" t="s">
        <v>24</v>
      </c>
      <c r="E820" s="13">
        <v>61064</v>
      </c>
      <c r="F820" s="23">
        <v>65387195.350000001</v>
      </c>
      <c r="G820" s="29">
        <v>5.49</v>
      </c>
      <c r="H820" s="29">
        <v>85.64</v>
      </c>
      <c r="I820" s="12">
        <v>26.68</v>
      </c>
      <c r="J820" s="12">
        <v>170.74</v>
      </c>
      <c r="K820" s="26">
        <v>59.27</v>
      </c>
      <c r="L820" s="12" t="s">
        <v>15</v>
      </c>
    </row>
    <row r="821" spans="1:12" x14ac:dyDescent="0.25">
      <c r="A821" s="17">
        <v>2023</v>
      </c>
      <c r="B821" s="17" t="s">
        <v>12</v>
      </c>
      <c r="C821" s="17" t="s">
        <v>28</v>
      </c>
      <c r="D821" s="17" t="s">
        <v>24</v>
      </c>
      <c r="E821" s="18">
        <v>36500</v>
      </c>
      <c r="F821" s="24">
        <v>11340925.859999999</v>
      </c>
      <c r="G821" s="30">
        <v>2.86</v>
      </c>
      <c r="H821" s="30">
        <v>98.22</v>
      </c>
      <c r="I821" s="17">
        <v>46.72</v>
      </c>
      <c r="J821" s="17">
        <v>177.9</v>
      </c>
      <c r="K821" s="27">
        <v>65.83</v>
      </c>
      <c r="L821" s="17" t="s">
        <v>15</v>
      </c>
    </row>
    <row r="822" spans="1:12" x14ac:dyDescent="0.25">
      <c r="A822" s="12">
        <v>2023</v>
      </c>
      <c r="B822" s="12" t="s">
        <v>36</v>
      </c>
      <c r="C822" s="12" t="s">
        <v>31</v>
      </c>
      <c r="D822" s="12" t="s">
        <v>24</v>
      </c>
      <c r="E822" s="13">
        <v>35816</v>
      </c>
      <c r="F822" s="23">
        <v>11652906.140000001</v>
      </c>
      <c r="G822" s="29">
        <v>6.83</v>
      </c>
      <c r="H822" s="29">
        <v>52.51</v>
      </c>
      <c r="I822" s="12">
        <v>23.96</v>
      </c>
      <c r="J822" s="12">
        <v>85.44</v>
      </c>
      <c r="K822" s="26">
        <v>54.57</v>
      </c>
      <c r="L822" s="12" t="s">
        <v>21</v>
      </c>
    </row>
    <row r="823" spans="1:12" x14ac:dyDescent="0.25">
      <c r="A823" s="17">
        <v>2023</v>
      </c>
      <c r="B823" s="17" t="s">
        <v>12</v>
      </c>
      <c r="C823" s="17" t="s">
        <v>23</v>
      </c>
      <c r="D823" s="17" t="s">
        <v>24</v>
      </c>
      <c r="E823" s="18">
        <v>42266</v>
      </c>
      <c r="F823" s="24">
        <v>25950100.260000002</v>
      </c>
      <c r="G823" s="30">
        <v>6.02</v>
      </c>
      <c r="H823" s="30">
        <v>55.39</v>
      </c>
      <c r="I823" s="17">
        <v>39.53</v>
      </c>
      <c r="J823" s="17">
        <v>262.25</v>
      </c>
      <c r="K823" s="27">
        <v>45.63</v>
      </c>
      <c r="L823" s="17" t="s">
        <v>15</v>
      </c>
    </row>
    <row r="824" spans="1:12" x14ac:dyDescent="0.25">
      <c r="A824" s="12">
        <v>2023</v>
      </c>
      <c r="B824" s="12" t="s">
        <v>35</v>
      </c>
      <c r="C824" s="12" t="s">
        <v>29</v>
      </c>
      <c r="D824" s="12" t="s">
        <v>24</v>
      </c>
      <c r="E824" s="13">
        <v>55851</v>
      </c>
      <c r="F824" s="23">
        <v>19401460.379999999</v>
      </c>
      <c r="G824" s="29">
        <v>5.04</v>
      </c>
      <c r="H824" s="29">
        <v>98.87</v>
      </c>
      <c r="I824" s="12">
        <v>14.29</v>
      </c>
      <c r="J824" s="12">
        <v>187.41</v>
      </c>
      <c r="K824" s="26">
        <v>45.43</v>
      </c>
      <c r="L824" s="12" t="s">
        <v>17</v>
      </c>
    </row>
    <row r="825" spans="1:12" x14ac:dyDescent="0.25">
      <c r="A825" s="17">
        <v>2023</v>
      </c>
      <c r="B825" s="17" t="s">
        <v>36</v>
      </c>
      <c r="C825" s="17" t="s">
        <v>26</v>
      </c>
      <c r="D825" s="17" t="s">
        <v>24</v>
      </c>
      <c r="E825" s="18">
        <v>60353</v>
      </c>
      <c r="F825" s="24">
        <v>10771600.5239999</v>
      </c>
      <c r="G825" s="30">
        <v>3.43</v>
      </c>
      <c r="H825" s="30">
        <v>67.709999999999994</v>
      </c>
      <c r="I825" s="17">
        <v>35.68</v>
      </c>
      <c r="J825" s="17">
        <v>79.34</v>
      </c>
      <c r="K825" s="27">
        <v>58.28</v>
      </c>
      <c r="L825" s="17" t="s">
        <v>21</v>
      </c>
    </row>
    <row r="826" spans="1:12" x14ac:dyDescent="0.25">
      <c r="A826" s="12">
        <v>2023</v>
      </c>
      <c r="B826" s="12" t="s">
        <v>35</v>
      </c>
      <c r="C826" s="12" t="s">
        <v>13</v>
      </c>
      <c r="D826" s="12" t="s">
        <v>14</v>
      </c>
      <c r="E826" s="13">
        <v>28445</v>
      </c>
      <c r="F826" s="23">
        <v>23846107.199999999</v>
      </c>
      <c r="G826" s="29">
        <v>3.99</v>
      </c>
      <c r="H826" s="29">
        <v>46.8</v>
      </c>
      <c r="I826" s="12">
        <v>37.909999999999997</v>
      </c>
      <c r="J826" s="12">
        <v>175.6</v>
      </c>
      <c r="K826" s="26">
        <v>66.599999999999994</v>
      </c>
      <c r="L826" s="12" t="s">
        <v>27</v>
      </c>
    </row>
    <row r="827" spans="1:12" x14ac:dyDescent="0.25">
      <c r="A827" s="17">
        <v>2023</v>
      </c>
      <c r="B827" s="17" t="s">
        <v>37</v>
      </c>
      <c r="C827" s="17" t="s">
        <v>34</v>
      </c>
      <c r="D827" s="17" t="s">
        <v>24</v>
      </c>
      <c r="E827" s="18">
        <v>52161</v>
      </c>
      <c r="F827" s="24">
        <v>28251610.309999999</v>
      </c>
      <c r="G827" s="30">
        <v>4.47</v>
      </c>
      <c r="H827" s="30">
        <v>63.99</v>
      </c>
      <c r="I827" s="17">
        <v>48.56</v>
      </c>
      <c r="J827" s="17">
        <v>255.02</v>
      </c>
      <c r="K827" s="27">
        <v>48.38</v>
      </c>
      <c r="L827" s="17" t="s">
        <v>19</v>
      </c>
    </row>
    <row r="828" spans="1:12" x14ac:dyDescent="0.25">
      <c r="A828" s="12">
        <v>2023</v>
      </c>
      <c r="B828" s="12" t="s">
        <v>37</v>
      </c>
      <c r="C828" s="12" t="s">
        <v>30</v>
      </c>
      <c r="D828" s="12" t="s">
        <v>24</v>
      </c>
      <c r="E828" s="13">
        <v>36216</v>
      </c>
      <c r="F828" s="23">
        <v>29959374.23</v>
      </c>
      <c r="G828" s="29">
        <v>3.82</v>
      </c>
      <c r="H828" s="29">
        <v>70.59</v>
      </c>
      <c r="I828" s="12">
        <v>46.92</v>
      </c>
      <c r="J828" s="12">
        <v>177.43</v>
      </c>
      <c r="K828" s="26">
        <v>63.86</v>
      </c>
      <c r="L828" s="12" t="s">
        <v>17</v>
      </c>
    </row>
    <row r="829" spans="1:12" x14ac:dyDescent="0.25">
      <c r="A829" s="17">
        <v>2023</v>
      </c>
      <c r="B829" s="17" t="s">
        <v>35</v>
      </c>
      <c r="C829" s="17" t="s">
        <v>20</v>
      </c>
      <c r="D829" s="17" t="s">
        <v>14</v>
      </c>
      <c r="E829" s="18">
        <v>40418</v>
      </c>
      <c r="F829" s="24">
        <v>32030342.59</v>
      </c>
      <c r="G829" s="30">
        <v>1.77999999999999</v>
      </c>
      <c r="H829" s="30">
        <v>61.9</v>
      </c>
      <c r="I829" s="17">
        <v>24.69</v>
      </c>
      <c r="J829" s="17">
        <v>160.97999999999999</v>
      </c>
      <c r="K829" s="27">
        <v>45.26</v>
      </c>
      <c r="L829" s="17" t="s">
        <v>21</v>
      </c>
    </row>
    <row r="830" spans="1:12" x14ac:dyDescent="0.25">
      <c r="A830" s="12">
        <v>2023</v>
      </c>
      <c r="B830" s="12" t="s">
        <v>37</v>
      </c>
      <c r="C830" s="12" t="s">
        <v>30</v>
      </c>
      <c r="D830" s="12" t="s">
        <v>24</v>
      </c>
      <c r="E830" s="13">
        <v>36216</v>
      </c>
      <c r="F830" s="23">
        <v>29959374.23</v>
      </c>
      <c r="G830" s="29">
        <v>3.82</v>
      </c>
      <c r="H830" s="29">
        <v>70.59</v>
      </c>
      <c r="I830" s="12">
        <v>46.92</v>
      </c>
      <c r="J830" s="12">
        <v>177.43</v>
      </c>
      <c r="K830" s="26">
        <v>63.86</v>
      </c>
      <c r="L830" s="12" t="s">
        <v>17</v>
      </c>
    </row>
    <row r="831" spans="1:12" x14ac:dyDescent="0.25">
      <c r="A831" s="17">
        <v>2023</v>
      </c>
      <c r="B831" s="17" t="s">
        <v>35</v>
      </c>
      <c r="C831" s="17" t="s">
        <v>30</v>
      </c>
      <c r="D831" s="17" t="s">
        <v>24</v>
      </c>
      <c r="E831" s="18">
        <v>43275</v>
      </c>
      <c r="F831" s="24">
        <v>7555516.4280000003</v>
      </c>
      <c r="G831" s="30">
        <v>4.18</v>
      </c>
      <c r="H831" s="30">
        <v>44.77</v>
      </c>
      <c r="I831" s="17">
        <v>25.77</v>
      </c>
      <c r="J831" s="17">
        <v>214.9</v>
      </c>
      <c r="K831" s="27">
        <v>48.3</v>
      </c>
      <c r="L831" s="17" t="s">
        <v>17</v>
      </c>
    </row>
    <row r="832" spans="1:12" x14ac:dyDescent="0.25">
      <c r="A832" s="12">
        <v>2023</v>
      </c>
      <c r="B832" s="12" t="s">
        <v>36</v>
      </c>
      <c r="C832" s="12" t="s">
        <v>23</v>
      </c>
      <c r="D832" s="12" t="s">
        <v>24</v>
      </c>
      <c r="E832" s="13">
        <v>18578</v>
      </c>
      <c r="F832" s="23">
        <v>35842354.880000003</v>
      </c>
      <c r="G832" s="29">
        <v>5.27</v>
      </c>
      <c r="H832" s="29">
        <v>41.64</v>
      </c>
      <c r="I832" s="12">
        <v>13.95</v>
      </c>
      <c r="J832" s="12">
        <v>192.01</v>
      </c>
      <c r="K832" s="26">
        <v>73.64</v>
      </c>
      <c r="L832" s="12" t="s">
        <v>21</v>
      </c>
    </row>
    <row r="833" spans="1:12" x14ac:dyDescent="0.25">
      <c r="A833" s="17">
        <v>2023</v>
      </c>
      <c r="B833" s="17" t="s">
        <v>36</v>
      </c>
      <c r="C833" s="17" t="s">
        <v>34</v>
      </c>
      <c r="D833" s="17" t="s">
        <v>24</v>
      </c>
      <c r="E833" s="18">
        <v>19229</v>
      </c>
      <c r="F833" s="24">
        <v>37535867.520000003</v>
      </c>
      <c r="G833" s="30">
        <v>6.95</v>
      </c>
      <c r="H833" s="30">
        <v>71.89</v>
      </c>
      <c r="I833" s="17">
        <v>44.75</v>
      </c>
      <c r="J833" s="17">
        <v>122.87</v>
      </c>
      <c r="K833" s="27">
        <v>91.72</v>
      </c>
      <c r="L833" s="17" t="s">
        <v>17</v>
      </c>
    </row>
    <row r="834" spans="1:12" x14ac:dyDescent="0.25">
      <c r="A834" s="12">
        <v>2023</v>
      </c>
      <c r="B834" s="12" t="s">
        <v>37</v>
      </c>
      <c r="C834" s="12" t="s">
        <v>18</v>
      </c>
      <c r="D834" s="12" t="s">
        <v>14</v>
      </c>
      <c r="E834" s="13">
        <v>47421</v>
      </c>
      <c r="F834" s="23">
        <v>4828393.0619999999</v>
      </c>
      <c r="G834" s="29">
        <v>0.34</v>
      </c>
      <c r="H834" s="29">
        <v>69.319999999999993</v>
      </c>
      <c r="I834" s="12">
        <v>14.16</v>
      </c>
      <c r="J834" s="12">
        <v>174.21</v>
      </c>
      <c r="K834" s="26">
        <v>73.78</v>
      </c>
      <c r="L834" s="12" t="s">
        <v>17</v>
      </c>
    </row>
    <row r="835" spans="1:12" x14ac:dyDescent="0.25">
      <c r="A835" s="17">
        <v>2023</v>
      </c>
      <c r="B835" s="17" t="s">
        <v>36</v>
      </c>
      <c r="C835" s="17" t="s">
        <v>31</v>
      </c>
      <c r="D835" s="17" t="s">
        <v>24</v>
      </c>
      <c r="E835" s="18">
        <v>35816</v>
      </c>
      <c r="F835" s="24">
        <v>11652906.140000001</v>
      </c>
      <c r="G835" s="30">
        <v>6.83</v>
      </c>
      <c r="H835" s="30">
        <v>52.51</v>
      </c>
      <c r="I835" s="17">
        <v>23.96</v>
      </c>
      <c r="J835" s="17">
        <v>85.44</v>
      </c>
      <c r="K835" s="27">
        <v>54.57</v>
      </c>
      <c r="L835" s="17" t="s">
        <v>21</v>
      </c>
    </row>
    <row r="836" spans="1:12" x14ac:dyDescent="0.25">
      <c r="A836" s="12">
        <v>2023</v>
      </c>
      <c r="B836" s="12" t="s">
        <v>35</v>
      </c>
      <c r="C836" s="12" t="s">
        <v>13</v>
      </c>
      <c r="D836" s="12" t="s">
        <v>14</v>
      </c>
      <c r="E836" s="13">
        <v>28445</v>
      </c>
      <c r="F836" s="23">
        <v>23846107.199999999</v>
      </c>
      <c r="G836" s="29">
        <v>3.99</v>
      </c>
      <c r="H836" s="29">
        <v>46.8</v>
      </c>
      <c r="I836" s="12">
        <v>37.909999999999997</v>
      </c>
      <c r="J836" s="12">
        <v>175.6</v>
      </c>
      <c r="K836" s="26">
        <v>66.599999999999994</v>
      </c>
      <c r="L836" s="12" t="s">
        <v>27</v>
      </c>
    </row>
    <row r="837" spans="1:12" x14ac:dyDescent="0.25">
      <c r="A837" s="17">
        <v>2023</v>
      </c>
      <c r="B837" s="17" t="s">
        <v>12</v>
      </c>
      <c r="C837" s="17" t="s">
        <v>20</v>
      </c>
      <c r="D837" s="17" t="s">
        <v>14</v>
      </c>
      <c r="E837" s="18">
        <v>41459</v>
      </c>
      <c r="F837" s="24">
        <v>13687954.880000001</v>
      </c>
      <c r="G837" s="30">
        <v>-0.11</v>
      </c>
      <c r="H837" s="30">
        <v>62.18</v>
      </c>
      <c r="I837" s="17">
        <v>11.77</v>
      </c>
      <c r="J837" s="17">
        <v>287.5</v>
      </c>
      <c r="K837" s="27">
        <v>41.54</v>
      </c>
      <c r="L837" s="17" t="s">
        <v>17</v>
      </c>
    </row>
    <row r="838" spans="1:12" x14ac:dyDescent="0.25">
      <c r="A838" s="12">
        <v>2023</v>
      </c>
      <c r="B838" s="12" t="s">
        <v>12</v>
      </c>
      <c r="C838" s="12" t="s">
        <v>28</v>
      </c>
      <c r="D838" s="12" t="s">
        <v>24</v>
      </c>
      <c r="E838" s="13">
        <v>36500</v>
      </c>
      <c r="F838" s="23">
        <v>11340925.859999999</v>
      </c>
      <c r="G838" s="29">
        <v>2.86</v>
      </c>
      <c r="H838" s="29">
        <v>98.22</v>
      </c>
      <c r="I838" s="12">
        <v>46.72</v>
      </c>
      <c r="J838" s="12">
        <v>177.9</v>
      </c>
      <c r="K838" s="26">
        <v>65.83</v>
      </c>
      <c r="L838" s="12" t="s">
        <v>15</v>
      </c>
    </row>
    <row r="839" spans="1:12" x14ac:dyDescent="0.25">
      <c r="A839" s="17">
        <v>2023</v>
      </c>
      <c r="B839" s="17" t="s">
        <v>37</v>
      </c>
      <c r="C839" s="17" t="s">
        <v>26</v>
      </c>
      <c r="D839" s="17" t="s">
        <v>24</v>
      </c>
      <c r="E839" s="18">
        <v>31159</v>
      </c>
      <c r="F839" s="24">
        <v>41780958.789999999</v>
      </c>
      <c r="G839" s="30">
        <v>4.5599999999999996</v>
      </c>
      <c r="H839" s="30">
        <v>79.39</v>
      </c>
      <c r="I839" s="17">
        <v>20.12</v>
      </c>
      <c r="J839" s="17">
        <v>294.91000000000003</v>
      </c>
      <c r="K839" s="27">
        <v>53.57</v>
      </c>
      <c r="L839" s="17" t="s">
        <v>19</v>
      </c>
    </row>
    <row r="840" spans="1:12" x14ac:dyDescent="0.25">
      <c r="A840" s="12">
        <v>2023</v>
      </c>
      <c r="B840" s="12" t="s">
        <v>35</v>
      </c>
      <c r="C840" s="12" t="s">
        <v>31</v>
      </c>
      <c r="D840" s="12" t="s">
        <v>24</v>
      </c>
      <c r="E840" s="13">
        <v>14970</v>
      </c>
      <c r="F840" s="23">
        <v>18515548.91</v>
      </c>
      <c r="G840" s="29">
        <v>6.32</v>
      </c>
      <c r="H840" s="29">
        <v>52.48</v>
      </c>
      <c r="I840" s="12">
        <v>25</v>
      </c>
      <c r="J840" s="12">
        <v>57.27</v>
      </c>
      <c r="K840" s="26">
        <v>51.12</v>
      </c>
      <c r="L840" s="12" t="s">
        <v>17</v>
      </c>
    </row>
    <row r="841" spans="1:12" x14ac:dyDescent="0.25">
      <c r="A841" s="17">
        <v>2023</v>
      </c>
      <c r="B841" s="17" t="s">
        <v>12</v>
      </c>
      <c r="C841" s="17" t="s">
        <v>32</v>
      </c>
      <c r="D841" s="17" t="s">
        <v>24</v>
      </c>
      <c r="E841" s="18">
        <v>39916</v>
      </c>
      <c r="F841" s="24">
        <v>30964782.02</v>
      </c>
      <c r="G841" s="30">
        <v>5.5299999999999896</v>
      </c>
      <c r="H841" s="30">
        <v>47.84</v>
      </c>
      <c r="I841" s="17">
        <v>15.23</v>
      </c>
      <c r="J841" s="17">
        <v>260.8</v>
      </c>
      <c r="K841" s="27">
        <v>82.88</v>
      </c>
      <c r="L841" s="17" t="s">
        <v>19</v>
      </c>
    </row>
    <row r="842" spans="1:12" x14ac:dyDescent="0.25">
      <c r="A842" s="12">
        <v>2023</v>
      </c>
      <c r="B842" s="12" t="s">
        <v>12</v>
      </c>
      <c r="C842" s="12" t="s">
        <v>34</v>
      </c>
      <c r="D842" s="12" t="s">
        <v>24</v>
      </c>
      <c r="E842" s="13">
        <v>11658</v>
      </c>
      <c r="F842" s="23">
        <v>14130688.68</v>
      </c>
      <c r="G842" s="29">
        <v>4.8099999999999996</v>
      </c>
      <c r="H842" s="29">
        <v>64.150000000000006</v>
      </c>
      <c r="I842" s="12">
        <v>50.51</v>
      </c>
      <c r="J842" s="12">
        <v>117.92</v>
      </c>
      <c r="K842" s="26">
        <v>62.56</v>
      </c>
      <c r="L842" s="12" t="s">
        <v>27</v>
      </c>
    </row>
    <row r="843" spans="1:12" x14ac:dyDescent="0.25">
      <c r="A843" s="17">
        <v>2023</v>
      </c>
      <c r="B843" s="17" t="s">
        <v>37</v>
      </c>
      <c r="C843" s="17" t="s">
        <v>30</v>
      </c>
      <c r="D843" s="17" t="s">
        <v>24</v>
      </c>
      <c r="E843" s="18">
        <v>36216</v>
      </c>
      <c r="F843" s="24">
        <v>29959374.23</v>
      </c>
      <c r="G843" s="30">
        <v>3.82</v>
      </c>
      <c r="H843" s="30">
        <v>70.59</v>
      </c>
      <c r="I843" s="17">
        <v>46.92</v>
      </c>
      <c r="J843" s="17">
        <v>177.43</v>
      </c>
      <c r="K843" s="27">
        <v>63.86</v>
      </c>
      <c r="L843" s="17" t="s">
        <v>17</v>
      </c>
    </row>
    <row r="844" spans="1:12" x14ac:dyDescent="0.25">
      <c r="A844" s="12">
        <v>2023</v>
      </c>
      <c r="B844" s="12" t="s">
        <v>37</v>
      </c>
      <c r="C844" s="12" t="s">
        <v>16</v>
      </c>
      <c r="D844" s="12" t="s">
        <v>14</v>
      </c>
      <c r="E844" s="13">
        <v>35697</v>
      </c>
      <c r="F844" s="23">
        <v>19462564.98</v>
      </c>
      <c r="G844" s="29">
        <v>2.4900000000000002</v>
      </c>
      <c r="H844" s="29">
        <v>36.549999999999997</v>
      </c>
      <c r="I844" s="12">
        <v>36.44</v>
      </c>
      <c r="J844" s="12">
        <v>236.39</v>
      </c>
      <c r="K844" s="26">
        <v>47.11</v>
      </c>
      <c r="L844" s="12" t="s">
        <v>21</v>
      </c>
    </row>
    <row r="845" spans="1:12" x14ac:dyDescent="0.25">
      <c r="A845" s="17">
        <v>2024</v>
      </c>
      <c r="B845" s="17" t="s">
        <v>12</v>
      </c>
      <c r="C845" s="17" t="s">
        <v>13</v>
      </c>
      <c r="D845" s="17" t="s">
        <v>14</v>
      </c>
      <c r="E845" s="18">
        <v>37131</v>
      </c>
      <c r="F845" s="24">
        <v>45587127.689999998</v>
      </c>
      <c r="G845" s="30">
        <v>0.59</v>
      </c>
      <c r="H845" s="30">
        <v>83.06</v>
      </c>
      <c r="I845" s="17">
        <v>0.33999999999999903</v>
      </c>
      <c r="J845" s="17">
        <v>274.2</v>
      </c>
      <c r="K845" s="27">
        <v>42.93</v>
      </c>
      <c r="L845" s="17" t="s">
        <v>21</v>
      </c>
    </row>
    <row r="846" spans="1:12" x14ac:dyDescent="0.25">
      <c r="A846" s="12">
        <v>2024</v>
      </c>
      <c r="B846" s="12" t="s">
        <v>12</v>
      </c>
      <c r="C846" s="12" t="s">
        <v>16</v>
      </c>
      <c r="D846" s="12" t="s">
        <v>14</v>
      </c>
      <c r="E846" s="13">
        <v>22947</v>
      </c>
      <c r="F846" s="23">
        <v>10581556.07</v>
      </c>
      <c r="G846" s="29">
        <v>2.0299999999999998</v>
      </c>
      <c r="H846" s="29">
        <v>51.05</v>
      </c>
      <c r="I846" s="12">
        <v>13.99</v>
      </c>
      <c r="J846" s="12">
        <v>62.01</v>
      </c>
      <c r="K846" s="26">
        <v>43.39</v>
      </c>
      <c r="L846" s="12" t="s">
        <v>27</v>
      </c>
    </row>
    <row r="847" spans="1:12" x14ac:dyDescent="0.25">
      <c r="A847" s="17">
        <v>2024</v>
      </c>
      <c r="B847" s="17" t="s">
        <v>12</v>
      </c>
      <c r="C847" s="17" t="s">
        <v>18</v>
      </c>
      <c r="D847" s="17" t="s">
        <v>14</v>
      </c>
      <c r="E847" s="18">
        <v>32783</v>
      </c>
      <c r="F847" s="24">
        <v>24954402.68</v>
      </c>
      <c r="G847" s="30">
        <v>-0.12</v>
      </c>
      <c r="H847" s="30">
        <v>68.38</v>
      </c>
      <c r="I847" s="17">
        <v>18.52</v>
      </c>
      <c r="J847" s="17">
        <v>165.62</v>
      </c>
      <c r="K847" s="27">
        <v>84.08</v>
      </c>
      <c r="L847" s="17" t="s">
        <v>15</v>
      </c>
    </row>
    <row r="848" spans="1:12" x14ac:dyDescent="0.25">
      <c r="A848" s="12">
        <v>2024</v>
      </c>
      <c r="B848" s="12" t="s">
        <v>12</v>
      </c>
      <c r="C848" s="12" t="s">
        <v>20</v>
      </c>
      <c r="D848" s="12" t="s">
        <v>14</v>
      </c>
      <c r="E848" s="13">
        <v>11825</v>
      </c>
      <c r="F848" s="23">
        <v>26416166.620000001</v>
      </c>
      <c r="G848" s="29">
        <v>3.72</v>
      </c>
      <c r="H848" s="29">
        <v>48.75</v>
      </c>
      <c r="I848" s="12">
        <v>13.42</v>
      </c>
      <c r="J848" s="12">
        <v>267.68</v>
      </c>
      <c r="K848" s="26">
        <v>82.48</v>
      </c>
      <c r="L848" s="12" t="s">
        <v>15</v>
      </c>
    </row>
    <row r="849" spans="1:12" x14ac:dyDescent="0.25">
      <c r="A849" s="17">
        <v>2024</v>
      </c>
      <c r="B849" s="17" t="s">
        <v>12</v>
      </c>
      <c r="C849" s="17" t="s">
        <v>22</v>
      </c>
      <c r="D849" s="17" t="s">
        <v>14</v>
      </c>
      <c r="E849" s="18">
        <v>11094</v>
      </c>
      <c r="F849" s="24">
        <v>32422221.329999998</v>
      </c>
      <c r="G849" s="30">
        <v>2.75</v>
      </c>
      <c r="H849" s="30">
        <v>69.33</v>
      </c>
      <c r="I849" s="17">
        <v>8.1999999999999993</v>
      </c>
      <c r="J849" s="17">
        <v>259.14999999999998</v>
      </c>
      <c r="K849" s="27">
        <v>73.14</v>
      </c>
      <c r="L849" s="17" t="s">
        <v>19</v>
      </c>
    </row>
    <row r="850" spans="1:12" x14ac:dyDescent="0.25">
      <c r="A850" s="12">
        <v>2024</v>
      </c>
      <c r="B850" s="12" t="s">
        <v>12</v>
      </c>
      <c r="C850" s="12" t="s">
        <v>23</v>
      </c>
      <c r="D850" s="12" t="s">
        <v>24</v>
      </c>
      <c r="E850" s="13">
        <v>54883</v>
      </c>
      <c r="F850" s="23">
        <v>29105714.760000002</v>
      </c>
      <c r="G850" s="29">
        <v>6.45</v>
      </c>
      <c r="H850" s="29">
        <v>41.13</v>
      </c>
      <c r="I850" s="12">
        <v>51.34</v>
      </c>
      <c r="J850" s="12">
        <v>117.64</v>
      </c>
      <c r="K850" s="26">
        <v>58.15</v>
      </c>
      <c r="L850" s="12" t="s">
        <v>21</v>
      </c>
    </row>
    <row r="851" spans="1:12" x14ac:dyDescent="0.25">
      <c r="A851" s="17">
        <v>2024</v>
      </c>
      <c r="B851" s="17" t="s">
        <v>12</v>
      </c>
      <c r="C851" s="17" t="s">
        <v>25</v>
      </c>
      <c r="D851" s="17" t="s">
        <v>24</v>
      </c>
      <c r="E851" s="18">
        <v>31220</v>
      </c>
      <c r="F851" s="24">
        <v>36722606.380000003</v>
      </c>
      <c r="G851" s="30">
        <v>6.53</v>
      </c>
      <c r="H851" s="30">
        <v>40.51</v>
      </c>
      <c r="I851" s="17">
        <v>32.239999999999903</v>
      </c>
      <c r="J851" s="17">
        <v>130.35</v>
      </c>
      <c r="K851" s="27">
        <v>80.87</v>
      </c>
      <c r="L851" s="17" t="s">
        <v>17</v>
      </c>
    </row>
    <row r="852" spans="1:12" x14ac:dyDescent="0.25">
      <c r="A852" s="12">
        <v>2024</v>
      </c>
      <c r="B852" s="12" t="s">
        <v>12</v>
      </c>
      <c r="C852" s="12" t="s">
        <v>26</v>
      </c>
      <c r="D852" s="12" t="s">
        <v>24</v>
      </c>
      <c r="E852" s="13">
        <v>11255</v>
      </c>
      <c r="F852" s="23">
        <v>40448789.530000001</v>
      </c>
      <c r="G852" s="29">
        <v>6.91</v>
      </c>
      <c r="H852" s="29">
        <v>69.89</v>
      </c>
      <c r="I852" s="12">
        <v>14.95</v>
      </c>
      <c r="J852" s="12">
        <v>211</v>
      </c>
      <c r="K852" s="26">
        <v>67.67</v>
      </c>
      <c r="L852" s="12" t="s">
        <v>21</v>
      </c>
    </row>
    <row r="853" spans="1:12" x14ac:dyDescent="0.25">
      <c r="A853" s="17">
        <v>2024</v>
      </c>
      <c r="B853" s="17" t="s">
        <v>12</v>
      </c>
      <c r="C853" s="17" t="s">
        <v>28</v>
      </c>
      <c r="D853" s="17" t="s">
        <v>24</v>
      </c>
      <c r="E853" s="18">
        <v>62968</v>
      </c>
      <c r="F853" s="24">
        <v>36037742.340000004</v>
      </c>
      <c r="G853" s="30">
        <v>3.27</v>
      </c>
      <c r="H853" s="30">
        <v>91.81</v>
      </c>
      <c r="I853" s="17">
        <v>35.090000000000003</v>
      </c>
      <c r="J853" s="17">
        <v>236.61</v>
      </c>
      <c r="K853" s="27">
        <v>93.38</v>
      </c>
      <c r="L853" s="17" t="s">
        <v>19</v>
      </c>
    </row>
    <row r="854" spans="1:12" x14ac:dyDescent="0.25">
      <c r="A854" s="12">
        <v>2024</v>
      </c>
      <c r="B854" s="12" t="s">
        <v>12</v>
      </c>
      <c r="C854" s="12" t="s">
        <v>29</v>
      </c>
      <c r="D854" s="12" t="s">
        <v>24</v>
      </c>
      <c r="E854" s="13">
        <v>57073</v>
      </c>
      <c r="F854" s="23">
        <v>27851665.91</v>
      </c>
      <c r="G854" s="29">
        <v>2.61</v>
      </c>
      <c r="H854" s="29">
        <v>66.33</v>
      </c>
      <c r="I854" s="12">
        <v>8.11</v>
      </c>
      <c r="J854" s="12">
        <v>196.33</v>
      </c>
      <c r="K854" s="26">
        <v>89.62</v>
      </c>
      <c r="L854" s="12" t="s">
        <v>17</v>
      </c>
    </row>
    <row r="855" spans="1:12" x14ac:dyDescent="0.25">
      <c r="A855" s="17">
        <v>2024</v>
      </c>
      <c r="B855" s="17" t="s">
        <v>12</v>
      </c>
      <c r="C855" s="17" t="s">
        <v>30</v>
      </c>
      <c r="D855" s="17" t="s">
        <v>24</v>
      </c>
      <c r="E855" s="18">
        <v>43911</v>
      </c>
      <c r="F855" s="24">
        <v>45501962.543999903</v>
      </c>
      <c r="G855" s="30">
        <v>4.21</v>
      </c>
      <c r="H855" s="30">
        <v>45.54</v>
      </c>
      <c r="I855" s="17">
        <v>47.18</v>
      </c>
      <c r="J855" s="17">
        <v>293.87</v>
      </c>
      <c r="K855" s="27">
        <v>46.55</v>
      </c>
      <c r="L855" s="17" t="s">
        <v>27</v>
      </c>
    </row>
    <row r="856" spans="1:12" x14ac:dyDescent="0.25">
      <c r="A856" s="12">
        <v>2024</v>
      </c>
      <c r="B856" s="12" t="s">
        <v>12</v>
      </c>
      <c r="C856" s="12" t="s">
        <v>31</v>
      </c>
      <c r="D856" s="12" t="s">
        <v>24</v>
      </c>
      <c r="E856" s="13">
        <v>6628</v>
      </c>
      <c r="F856" s="23">
        <v>36995468.590000004</v>
      </c>
      <c r="G856" s="29">
        <v>4.8099999999999996</v>
      </c>
      <c r="H856" s="29">
        <v>93.86</v>
      </c>
      <c r="I856" s="12">
        <v>26.43</v>
      </c>
      <c r="J856" s="12">
        <v>157.51</v>
      </c>
      <c r="K856" s="26">
        <v>45.53</v>
      </c>
      <c r="L856" s="12" t="s">
        <v>27</v>
      </c>
    </row>
    <row r="857" spans="1:12" x14ac:dyDescent="0.25">
      <c r="A857" s="17">
        <v>2024</v>
      </c>
      <c r="B857" s="17" t="s">
        <v>12</v>
      </c>
      <c r="C857" s="17" t="s">
        <v>32</v>
      </c>
      <c r="D857" s="17" t="s">
        <v>24</v>
      </c>
      <c r="E857" s="18">
        <v>54366</v>
      </c>
      <c r="F857" s="24">
        <v>58337180.299999997</v>
      </c>
      <c r="G857" s="30">
        <v>2.87</v>
      </c>
      <c r="H857" s="30">
        <v>90.7</v>
      </c>
      <c r="I857" s="17">
        <v>13.54</v>
      </c>
      <c r="J857" s="17">
        <v>83.75</v>
      </c>
      <c r="K857" s="27">
        <v>56.88</v>
      </c>
      <c r="L857" s="17" t="s">
        <v>15</v>
      </c>
    </row>
    <row r="858" spans="1:12" x14ac:dyDescent="0.25">
      <c r="A858" s="12">
        <v>2024</v>
      </c>
      <c r="B858" s="12" t="s">
        <v>12</v>
      </c>
      <c r="C858" s="12" t="s">
        <v>33</v>
      </c>
      <c r="D858" s="12" t="s">
        <v>24</v>
      </c>
      <c r="E858" s="13">
        <v>43162</v>
      </c>
      <c r="F858" s="23">
        <v>43400860.595999897</v>
      </c>
      <c r="G858" s="29">
        <v>3.11</v>
      </c>
      <c r="H858" s="29">
        <v>73.38</v>
      </c>
      <c r="I858" s="12">
        <v>46.43</v>
      </c>
      <c r="J858" s="12">
        <v>195.74</v>
      </c>
      <c r="K858" s="26">
        <v>49.58</v>
      </c>
      <c r="L858" s="12" t="s">
        <v>19</v>
      </c>
    </row>
    <row r="859" spans="1:12" x14ac:dyDescent="0.25">
      <c r="A859" s="17">
        <v>2024</v>
      </c>
      <c r="B859" s="17" t="s">
        <v>12</v>
      </c>
      <c r="C859" s="17" t="s">
        <v>34</v>
      </c>
      <c r="D859" s="17" t="s">
        <v>24</v>
      </c>
      <c r="E859" s="18">
        <v>24624</v>
      </c>
      <c r="F859" s="24">
        <v>36547057.850000001</v>
      </c>
      <c r="G859" s="30">
        <v>6.92</v>
      </c>
      <c r="H859" s="30">
        <v>54.55</v>
      </c>
      <c r="I859" s="17">
        <v>50.77</v>
      </c>
      <c r="J859" s="17">
        <v>120.07</v>
      </c>
      <c r="K859" s="27">
        <v>50.72</v>
      </c>
      <c r="L859" s="17" t="s">
        <v>21</v>
      </c>
    </row>
    <row r="860" spans="1:12" x14ac:dyDescent="0.25">
      <c r="A860" s="12">
        <v>2024</v>
      </c>
      <c r="B860" s="12" t="s">
        <v>35</v>
      </c>
      <c r="C860" s="12" t="s">
        <v>13</v>
      </c>
      <c r="D860" s="12" t="s">
        <v>14</v>
      </c>
      <c r="E860" s="13">
        <v>26237</v>
      </c>
      <c r="F860" s="23">
        <v>30930455.537999999</v>
      </c>
      <c r="G860" s="29">
        <v>2.72</v>
      </c>
      <c r="H860" s="29">
        <v>30.37</v>
      </c>
      <c r="I860" s="12">
        <v>43.72</v>
      </c>
      <c r="J860" s="12">
        <v>205.74</v>
      </c>
      <c r="K860" s="26">
        <v>48.09</v>
      </c>
      <c r="L860" s="12" t="s">
        <v>19</v>
      </c>
    </row>
    <row r="861" spans="1:12" x14ac:dyDescent="0.25">
      <c r="A861" s="17">
        <v>2024</v>
      </c>
      <c r="B861" s="17" t="s">
        <v>35</v>
      </c>
      <c r="C861" s="17" t="s">
        <v>16</v>
      </c>
      <c r="D861" s="17" t="s">
        <v>14</v>
      </c>
      <c r="E861" s="18">
        <v>22269</v>
      </c>
      <c r="F861" s="24">
        <v>16275671.49</v>
      </c>
      <c r="G861" s="30">
        <v>2.2400000000000002</v>
      </c>
      <c r="H861" s="30">
        <v>67.36</v>
      </c>
      <c r="I861" s="17">
        <v>2.27</v>
      </c>
      <c r="J861" s="17">
        <v>216.59</v>
      </c>
      <c r="K861" s="27">
        <v>73.239999999999995</v>
      </c>
      <c r="L861" s="17" t="s">
        <v>21</v>
      </c>
    </row>
    <row r="862" spans="1:12" x14ac:dyDescent="0.25">
      <c r="A862" s="12">
        <v>2024</v>
      </c>
      <c r="B862" s="12" t="s">
        <v>35</v>
      </c>
      <c r="C862" s="12" t="s">
        <v>18</v>
      </c>
      <c r="D862" s="12" t="s">
        <v>14</v>
      </c>
      <c r="E862" s="13">
        <v>27314</v>
      </c>
      <c r="F862" s="23">
        <v>25415808.77</v>
      </c>
      <c r="G862" s="29">
        <v>0.48</v>
      </c>
      <c r="H862" s="29">
        <v>88.91</v>
      </c>
      <c r="I862" s="12">
        <v>13.08</v>
      </c>
      <c r="J862" s="12">
        <v>84.12</v>
      </c>
      <c r="K862" s="26">
        <v>40.119999999999997</v>
      </c>
      <c r="L862" s="12" t="s">
        <v>27</v>
      </c>
    </row>
    <row r="863" spans="1:12" x14ac:dyDescent="0.25">
      <c r="A863" s="17">
        <v>2024</v>
      </c>
      <c r="B863" s="17" t="s">
        <v>35</v>
      </c>
      <c r="C863" s="17" t="s">
        <v>20</v>
      </c>
      <c r="D863" s="17" t="s">
        <v>14</v>
      </c>
      <c r="E863" s="18">
        <v>18938</v>
      </c>
      <c r="F863" s="24">
        <v>16203612.710000001</v>
      </c>
      <c r="G863" s="30">
        <v>3.04</v>
      </c>
      <c r="H863" s="30">
        <v>84.26</v>
      </c>
      <c r="I863" s="17">
        <v>14.97</v>
      </c>
      <c r="J863" s="17">
        <v>201.33</v>
      </c>
      <c r="K863" s="27">
        <v>75.69</v>
      </c>
      <c r="L863" s="17" t="s">
        <v>27</v>
      </c>
    </row>
    <row r="864" spans="1:12" x14ac:dyDescent="0.25">
      <c r="A864" s="12">
        <v>2024</v>
      </c>
      <c r="B864" s="12" t="s">
        <v>35</v>
      </c>
      <c r="C864" s="12" t="s">
        <v>22</v>
      </c>
      <c r="D864" s="12" t="s">
        <v>14</v>
      </c>
      <c r="E864" s="13">
        <v>14478</v>
      </c>
      <c r="F864" s="23">
        <v>46356728.390000001</v>
      </c>
      <c r="G864" s="29">
        <v>1.47</v>
      </c>
      <c r="H864" s="29">
        <v>44.98</v>
      </c>
      <c r="I864" s="12">
        <v>31.83</v>
      </c>
      <c r="J864" s="12">
        <v>190.4</v>
      </c>
      <c r="K864" s="26">
        <v>78.16</v>
      </c>
      <c r="L864" s="12" t="s">
        <v>17</v>
      </c>
    </row>
    <row r="865" spans="1:12" x14ac:dyDescent="0.25">
      <c r="A865" s="17">
        <v>2024</v>
      </c>
      <c r="B865" s="17" t="s">
        <v>35</v>
      </c>
      <c r="C865" s="17" t="s">
        <v>23</v>
      </c>
      <c r="D865" s="17" t="s">
        <v>24</v>
      </c>
      <c r="E865" s="18">
        <v>64381</v>
      </c>
      <c r="F865" s="24">
        <v>8891741.3399999999</v>
      </c>
      <c r="G865" s="30">
        <v>3.46</v>
      </c>
      <c r="H865" s="30">
        <v>81.540000000000006</v>
      </c>
      <c r="I865" s="17">
        <v>25.48</v>
      </c>
      <c r="J865" s="17">
        <v>147.47999999999999</v>
      </c>
      <c r="K865" s="27">
        <v>52.94</v>
      </c>
      <c r="L865" s="17" t="s">
        <v>21</v>
      </c>
    </row>
    <row r="866" spans="1:12" x14ac:dyDescent="0.25">
      <c r="A866" s="12">
        <v>2024</v>
      </c>
      <c r="B866" s="12" t="s">
        <v>35</v>
      </c>
      <c r="C866" s="12" t="s">
        <v>25</v>
      </c>
      <c r="D866" s="12" t="s">
        <v>24</v>
      </c>
      <c r="E866" s="13">
        <v>33515</v>
      </c>
      <c r="F866" s="23">
        <v>35787763.82</v>
      </c>
      <c r="G866" s="29">
        <v>4.3</v>
      </c>
      <c r="H866" s="29">
        <v>82.09</v>
      </c>
      <c r="I866" s="12">
        <v>44.83</v>
      </c>
      <c r="J866" s="12">
        <v>256.14</v>
      </c>
      <c r="K866" s="26">
        <v>51.86</v>
      </c>
      <c r="L866" s="12" t="s">
        <v>17</v>
      </c>
    </row>
    <row r="867" spans="1:12" x14ac:dyDescent="0.25">
      <c r="A867" s="17">
        <v>2024</v>
      </c>
      <c r="B867" s="17" t="s">
        <v>35</v>
      </c>
      <c r="C867" s="17" t="s">
        <v>26</v>
      </c>
      <c r="D867" s="17" t="s">
        <v>24</v>
      </c>
      <c r="E867" s="18">
        <v>14587</v>
      </c>
      <c r="F867" s="24">
        <v>28041204.800000001</v>
      </c>
      <c r="G867" s="30">
        <v>2.85</v>
      </c>
      <c r="H867" s="30">
        <v>53.66</v>
      </c>
      <c r="I867" s="17">
        <v>51.8</v>
      </c>
      <c r="J867" s="17">
        <v>126.75</v>
      </c>
      <c r="K867" s="27">
        <v>94.43</v>
      </c>
      <c r="L867" s="17" t="s">
        <v>15</v>
      </c>
    </row>
    <row r="868" spans="1:12" x14ac:dyDescent="0.25">
      <c r="A868" s="12">
        <v>2024</v>
      </c>
      <c r="B868" s="12" t="s">
        <v>35</v>
      </c>
      <c r="C868" s="12" t="s">
        <v>28</v>
      </c>
      <c r="D868" s="12" t="s">
        <v>24</v>
      </c>
      <c r="E868" s="13">
        <v>47712</v>
      </c>
      <c r="F868" s="23">
        <v>18117011.059999999</v>
      </c>
      <c r="G868" s="29">
        <v>3.62</v>
      </c>
      <c r="H868" s="29">
        <v>64.38</v>
      </c>
      <c r="I868" s="12">
        <v>33.69</v>
      </c>
      <c r="J868" s="12">
        <v>172.94</v>
      </c>
      <c r="K868" s="26">
        <v>72.78</v>
      </c>
      <c r="L868" s="12" t="s">
        <v>21</v>
      </c>
    </row>
    <row r="869" spans="1:12" x14ac:dyDescent="0.25">
      <c r="A869" s="17">
        <v>2024</v>
      </c>
      <c r="B869" s="17" t="s">
        <v>35</v>
      </c>
      <c r="C869" s="17" t="s">
        <v>29</v>
      </c>
      <c r="D869" s="17" t="s">
        <v>24</v>
      </c>
      <c r="E869" s="18">
        <v>24276</v>
      </c>
      <c r="F869" s="24">
        <v>82025137.200000003</v>
      </c>
      <c r="G869" s="30">
        <v>6.27</v>
      </c>
      <c r="H869" s="30">
        <v>51.96</v>
      </c>
      <c r="I869" s="17">
        <v>37.97</v>
      </c>
      <c r="J869" s="17">
        <v>177.35</v>
      </c>
      <c r="K869" s="27">
        <v>73.86</v>
      </c>
      <c r="L869" s="17" t="s">
        <v>17</v>
      </c>
    </row>
    <row r="870" spans="1:12" x14ac:dyDescent="0.25">
      <c r="A870" s="12">
        <v>2024</v>
      </c>
      <c r="B870" s="12" t="s">
        <v>35</v>
      </c>
      <c r="C870" s="12" t="s">
        <v>30</v>
      </c>
      <c r="D870" s="12" t="s">
        <v>24</v>
      </c>
      <c r="E870" s="13">
        <v>28349</v>
      </c>
      <c r="F870" s="23">
        <v>29473665.23</v>
      </c>
      <c r="G870" s="29">
        <v>6.51</v>
      </c>
      <c r="H870" s="29">
        <v>94.18</v>
      </c>
      <c r="I870" s="12">
        <v>34.270000000000003</v>
      </c>
      <c r="J870" s="12">
        <v>103.77</v>
      </c>
      <c r="K870" s="26">
        <v>65.41</v>
      </c>
      <c r="L870" s="12" t="s">
        <v>15</v>
      </c>
    </row>
    <row r="871" spans="1:12" x14ac:dyDescent="0.25">
      <c r="A871" s="17">
        <v>2024</v>
      </c>
      <c r="B871" s="17" t="s">
        <v>35</v>
      </c>
      <c r="C871" s="17" t="s">
        <v>31</v>
      </c>
      <c r="D871" s="17" t="s">
        <v>24</v>
      </c>
      <c r="E871" s="18">
        <v>33169</v>
      </c>
      <c r="F871" s="24">
        <v>35954900.030000001</v>
      </c>
      <c r="G871" s="30">
        <v>5.42</v>
      </c>
      <c r="H871" s="30">
        <v>53.54</v>
      </c>
      <c r="I871" s="17">
        <v>26.02</v>
      </c>
      <c r="J871" s="17">
        <v>294.86</v>
      </c>
      <c r="K871" s="27">
        <v>54.66</v>
      </c>
      <c r="L871" s="17" t="s">
        <v>27</v>
      </c>
    </row>
    <row r="872" spans="1:12" x14ac:dyDescent="0.25">
      <c r="A872" s="12">
        <v>2024</v>
      </c>
      <c r="B872" s="12" t="s">
        <v>35</v>
      </c>
      <c r="C872" s="12" t="s">
        <v>32</v>
      </c>
      <c r="D872" s="12" t="s">
        <v>24</v>
      </c>
      <c r="E872" s="13">
        <v>7463</v>
      </c>
      <c r="F872" s="23">
        <v>54322194.789999999</v>
      </c>
      <c r="G872" s="29">
        <v>3.42</v>
      </c>
      <c r="H872" s="29">
        <v>84.33</v>
      </c>
      <c r="I872" s="12">
        <v>29.05</v>
      </c>
      <c r="J872" s="12">
        <v>82.85</v>
      </c>
      <c r="K872" s="26">
        <v>88.18</v>
      </c>
      <c r="L872" s="12" t="s">
        <v>21</v>
      </c>
    </row>
    <row r="873" spans="1:12" x14ac:dyDescent="0.25">
      <c r="A873" s="17">
        <v>2024</v>
      </c>
      <c r="B873" s="17" t="s">
        <v>35</v>
      </c>
      <c r="C873" s="17" t="s">
        <v>33</v>
      </c>
      <c r="D873" s="17" t="s">
        <v>24</v>
      </c>
      <c r="E873" s="18">
        <v>16723</v>
      </c>
      <c r="F873" s="24">
        <v>10462398.76</v>
      </c>
      <c r="G873" s="30">
        <v>5.79</v>
      </c>
      <c r="H873" s="30">
        <v>80.56</v>
      </c>
      <c r="I873" s="17">
        <v>28.87</v>
      </c>
      <c r="J873" s="17">
        <v>162.51</v>
      </c>
      <c r="K873" s="27">
        <v>72.81</v>
      </c>
      <c r="L873" s="17" t="s">
        <v>19</v>
      </c>
    </row>
    <row r="874" spans="1:12" x14ac:dyDescent="0.25">
      <c r="A874" s="12">
        <v>2024</v>
      </c>
      <c r="B874" s="12" t="s">
        <v>35</v>
      </c>
      <c r="C874" s="12" t="s">
        <v>34</v>
      </c>
      <c r="D874" s="12" t="s">
        <v>24</v>
      </c>
      <c r="E874" s="13">
        <v>44327</v>
      </c>
      <c r="F874" s="23">
        <v>51331262.543999903</v>
      </c>
      <c r="G874" s="29">
        <v>4.95</v>
      </c>
      <c r="H874" s="29">
        <v>78.31</v>
      </c>
      <c r="I874" s="12">
        <v>41.66</v>
      </c>
      <c r="J874" s="12">
        <v>198.84</v>
      </c>
      <c r="K874" s="26">
        <v>46.44</v>
      </c>
      <c r="L874" s="12" t="s">
        <v>19</v>
      </c>
    </row>
    <row r="875" spans="1:12" x14ac:dyDescent="0.25">
      <c r="A875" s="17">
        <v>2024</v>
      </c>
      <c r="B875" s="17" t="s">
        <v>36</v>
      </c>
      <c r="C875" s="17" t="s">
        <v>13</v>
      </c>
      <c r="D875" s="17" t="s">
        <v>14</v>
      </c>
      <c r="E875" s="18">
        <v>32671</v>
      </c>
      <c r="F875" s="24">
        <v>47591496.990000002</v>
      </c>
      <c r="G875" s="30">
        <v>2.77</v>
      </c>
      <c r="H875" s="30">
        <v>27.94</v>
      </c>
      <c r="I875" s="17">
        <v>32.880000000000003</v>
      </c>
      <c r="J875" s="17">
        <v>71.209999999999994</v>
      </c>
      <c r="K875" s="27">
        <v>82.95</v>
      </c>
      <c r="L875" s="17" t="s">
        <v>15</v>
      </c>
    </row>
    <row r="876" spans="1:12" x14ac:dyDescent="0.25">
      <c r="A876" s="12">
        <v>2024</v>
      </c>
      <c r="B876" s="12" t="s">
        <v>36</v>
      </c>
      <c r="C876" s="12" t="s">
        <v>16</v>
      </c>
      <c r="D876" s="12" t="s">
        <v>14</v>
      </c>
      <c r="E876" s="13">
        <v>40214</v>
      </c>
      <c r="F876" s="23">
        <v>41136987.82</v>
      </c>
      <c r="G876" s="29">
        <v>0.13999999999999899</v>
      </c>
      <c r="H876" s="29">
        <v>87.83</v>
      </c>
      <c r="I876" s="12">
        <v>40.29</v>
      </c>
      <c r="J876" s="12">
        <v>259.95</v>
      </c>
      <c r="K876" s="26">
        <v>42.51</v>
      </c>
      <c r="L876" s="12" t="s">
        <v>15</v>
      </c>
    </row>
    <row r="877" spans="1:12" x14ac:dyDescent="0.25">
      <c r="A877" s="17">
        <v>2024</v>
      </c>
      <c r="B877" s="17" t="s">
        <v>36</v>
      </c>
      <c r="C877" s="17" t="s">
        <v>18</v>
      </c>
      <c r="D877" s="17" t="s">
        <v>14</v>
      </c>
      <c r="E877" s="18">
        <v>5564</v>
      </c>
      <c r="F877" s="24">
        <v>59801417.460000001</v>
      </c>
      <c r="G877" s="30">
        <v>3.5</v>
      </c>
      <c r="H877" s="30">
        <v>48.6</v>
      </c>
      <c r="I877" s="17">
        <v>29.86</v>
      </c>
      <c r="J877" s="17">
        <v>213.04</v>
      </c>
      <c r="K877" s="27">
        <v>46.39</v>
      </c>
      <c r="L877" s="17" t="s">
        <v>27</v>
      </c>
    </row>
    <row r="878" spans="1:12" x14ac:dyDescent="0.25">
      <c r="A878" s="12">
        <v>2024</v>
      </c>
      <c r="B878" s="12" t="s">
        <v>36</v>
      </c>
      <c r="C878" s="12" t="s">
        <v>20</v>
      </c>
      <c r="D878" s="12" t="s">
        <v>14</v>
      </c>
      <c r="E878" s="13">
        <v>19903</v>
      </c>
      <c r="F878" s="23">
        <v>17437926.68</v>
      </c>
      <c r="G878" s="29">
        <v>3.41</v>
      </c>
      <c r="H878" s="29">
        <v>61.77</v>
      </c>
      <c r="I878" s="12">
        <v>2.81</v>
      </c>
      <c r="J878" s="12">
        <v>289.86</v>
      </c>
      <c r="K878" s="26">
        <v>52.2</v>
      </c>
      <c r="L878" s="12" t="s">
        <v>19</v>
      </c>
    </row>
    <row r="879" spans="1:12" x14ac:dyDescent="0.25">
      <c r="A879" s="17">
        <v>2024</v>
      </c>
      <c r="B879" s="17" t="s">
        <v>36</v>
      </c>
      <c r="C879" s="17" t="s">
        <v>22</v>
      </c>
      <c r="D879" s="17" t="s">
        <v>14</v>
      </c>
      <c r="E879" s="18">
        <v>21386</v>
      </c>
      <c r="F879" s="24">
        <v>36904339.770000003</v>
      </c>
      <c r="G879" s="30">
        <v>2.99</v>
      </c>
      <c r="H879" s="30">
        <v>72.989999999999995</v>
      </c>
      <c r="I879" s="17">
        <v>35.39</v>
      </c>
      <c r="J879" s="17">
        <v>296.75</v>
      </c>
      <c r="K879" s="27">
        <v>75.59</v>
      </c>
      <c r="L879" s="17" t="s">
        <v>17</v>
      </c>
    </row>
    <row r="880" spans="1:12" x14ac:dyDescent="0.25">
      <c r="A880" s="12">
        <v>2024</v>
      </c>
      <c r="B880" s="12" t="s">
        <v>36</v>
      </c>
      <c r="C880" s="12" t="s">
        <v>23</v>
      </c>
      <c r="D880" s="12" t="s">
        <v>24</v>
      </c>
      <c r="E880" s="13">
        <v>27969</v>
      </c>
      <c r="F880" s="23">
        <v>70164647.829999998</v>
      </c>
      <c r="G880" s="29">
        <v>2.62</v>
      </c>
      <c r="H880" s="29">
        <v>46.76</v>
      </c>
      <c r="I880" s="12">
        <v>43.61</v>
      </c>
      <c r="J880" s="12">
        <v>103.25</v>
      </c>
      <c r="K880" s="26">
        <v>63.21</v>
      </c>
      <c r="L880" s="12" t="s">
        <v>19</v>
      </c>
    </row>
    <row r="881" spans="1:12" x14ac:dyDescent="0.25">
      <c r="A881" s="17">
        <v>2024</v>
      </c>
      <c r="B881" s="17" t="s">
        <v>36</v>
      </c>
      <c r="C881" s="17" t="s">
        <v>25</v>
      </c>
      <c r="D881" s="17" t="s">
        <v>24</v>
      </c>
      <c r="E881" s="18">
        <v>37433</v>
      </c>
      <c r="F881" s="24">
        <v>18338586.460000001</v>
      </c>
      <c r="G881" s="30">
        <v>4.04</v>
      </c>
      <c r="H881" s="30">
        <v>87.64</v>
      </c>
      <c r="I881" s="17">
        <v>53.76</v>
      </c>
      <c r="J881" s="17">
        <v>101.77</v>
      </c>
      <c r="K881" s="27">
        <v>50.02</v>
      </c>
      <c r="L881" s="17" t="s">
        <v>19</v>
      </c>
    </row>
    <row r="882" spans="1:12" x14ac:dyDescent="0.25">
      <c r="A882" s="12">
        <v>2024</v>
      </c>
      <c r="B882" s="12" t="s">
        <v>36</v>
      </c>
      <c r="C882" s="12" t="s">
        <v>26</v>
      </c>
      <c r="D882" s="12" t="s">
        <v>24</v>
      </c>
      <c r="E882" s="13">
        <v>39286</v>
      </c>
      <c r="F882" s="23">
        <v>60220617.189999998</v>
      </c>
      <c r="G882" s="29">
        <v>3.28</v>
      </c>
      <c r="H882" s="29">
        <v>52.62</v>
      </c>
      <c r="I882" s="12">
        <v>54.48</v>
      </c>
      <c r="J882" s="12">
        <v>284.67</v>
      </c>
      <c r="K882" s="26">
        <v>72.09</v>
      </c>
      <c r="L882" s="12" t="s">
        <v>27</v>
      </c>
    </row>
    <row r="883" spans="1:12" x14ac:dyDescent="0.25">
      <c r="A883" s="17">
        <v>2024</v>
      </c>
      <c r="B883" s="17" t="s">
        <v>36</v>
      </c>
      <c r="C883" s="17" t="s">
        <v>28</v>
      </c>
      <c r="D883" s="17" t="s">
        <v>24</v>
      </c>
      <c r="E883" s="18">
        <v>53528</v>
      </c>
      <c r="F883" s="24">
        <v>21387152.239999998</v>
      </c>
      <c r="G883" s="30">
        <v>6.42</v>
      </c>
      <c r="H883" s="30">
        <v>103.82</v>
      </c>
      <c r="I883" s="17">
        <v>51.01</v>
      </c>
      <c r="J883" s="17">
        <v>130.55000000000001</v>
      </c>
      <c r="K883" s="27">
        <v>85.26</v>
      </c>
      <c r="L883" s="17" t="s">
        <v>19</v>
      </c>
    </row>
    <row r="884" spans="1:12" x14ac:dyDescent="0.25">
      <c r="A884" s="12">
        <v>2024</v>
      </c>
      <c r="B884" s="12" t="s">
        <v>36</v>
      </c>
      <c r="C884" s="12" t="s">
        <v>29</v>
      </c>
      <c r="D884" s="12" t="s">
        <v>24</v>
      </c>
      <c r="E884" s="13">
        <v>35291</v>
      </c>
      <c r="F884" s="23">
        <v>49226395.399999999</v>
      </c>
      <c r="G884" s="29">
        <v>6.75</v>
      </c>
      <c r="H884" s="29">
        <v>62.89</v>
      </c>
      <c r="I884" s="12">
        <v>24.49</v>
      </c>
      <c r="J884" s="12">
        <v>220.65</v>
      </c>
      <c r="K884" s="26">
        <v>89.72</v>
      </c>
      <c r="L884" s="12" t="s">
        <v>21</v>
      </c>
    </row>
    <row r="885" spans="1:12" x14ac:dyDescent="0.25">
      <c r="A885" s="17">
        <v>2024</v>
      </c>
      <c r="B885" s="17" t="s">
        <v>36</v>
      </c>
      <c r="C885" s="17" t="s">
        <v>30</v>
      </c>
      <c r="D885" s="17" t="s">
        <v>24</v>
      </c>
      <c r="E885" s="18">
        <v>59709</v>
      </c>
      <c r="F885" s="24">
        <v>24247149.039999999</v>
      </c>
      <c r="G885" s="30">
        <v>6.3</v>
      </c>
      <c r="H885" s="30">
        <v>103.78</v>
      </c>
      <c r="I885" s="17">
        <v>12.99</v>
      </c>
      <c r="J885" s="17">
        <v>284.37</v>
      </c>
      <c r="K885" s="27">
        <v>67.069999999999993</v>
      </c>
      <c r="L885" s="17" t="s">
        <v>19</v>
      </c>
    </row>
    <row r="886" spans="1:12" x14ac:dyDescent="0.25">
      <c r="A886" s="12">
        <v>2024</v>
      </c>
      <c r="B886" s="12" t="s">
        <v>36</v>
      </c>
      <c r="C886" s="12" t="s">
        <v>31</v>
      </c>
      <c r="D886" s="12" t="s">
        <v>24</v>
      </c>
      <c r="E886" s="13">
        <v>43568</v>
      </c>
      <c r="F886" s="23">
        <v>7815666.2519999901</v>
      </c>
      <c r="G886" s="29">
        <v>5.04</v>
      </c>
      <c r="H886" s="29">
        <v>74.459999999999994</v>
      </c>
      <c r="I886" s="12">
        <v>45.39</v>
      </c>
      <c r="J886" s="12">
        <v>255.35</v>
      </c>
      <c r="K886" s="26">
        <v>72.28</v>
      </c>
      <c r="L886" s="12" t="s">
        <v>21</v>
      </c>
    </row>
    <row r="887" spans="1:12" x14ac:dyDescent="0.25">
      <c r="A887" s="17">
        <v>2024</v>
      </c>
      <c r="B887" s="17" t="s">
        <v>36</v>
      </c>
      <c r="C887" s="17" t="s">
        <v>32</v>
      </c>
      <c r="D887" s="17" t="s">
        <v>24</v>
      </c>
      <c r="E887" s="18">
        <v>14266</v>
      </c>
      <c r="F887" s="24">
        <v>34815441.960000001</v>
      </c>
      <c r="G887" s="30">
        <v>4.33</v>
      </c>
      <c r="H887" s="30">
        <v>40.78</v>
      </c>
      <c r="I887" s="17">
        <v>17.489999999999998</v>
      </c>
      <c r="J887" s="17">
        <v>190.78</v>
      </c>
      <c r="K887" s="27">
        <v>88.08</v>
      </c>
      <c r="L887" s="17" t="s">
        <v>17</v>
      </c>
    </row>
    <row r="888" spans="1:12" x14ac:dyDescent="0.25">
      <c r="A888" s="12">
        <v>2024</v>
      </c>
      <c r="B888" s="12" t="s">
        <v>36</v>
      </c>
      <c r="C888" s="12" t="s">
        <v>33</v>
      </c>
      <c r="D888" s="12" t="s">
        <v>24</v>
      </c>
      <c r="E888" s="13">
        <v>15763</v>
      </c>
      <c r="F888" s="23">
        <v>7376208.852</v>
      </c>
      <c r="G888" s="29">
        <v>5.89</v>
      </c>
      <c r="H888" s="29">
        <v>74.459999999999994</v>
      </c>
      <c r="I888" s="12">
        <v>50.36</v>
      </c>
      <c r="J888" s="12">
        <v>173.23</v>
      </c>
      <c r="K888" s="26">
        <v>52.39</v>
      </c>
      <c r="L888" s="12" t="s">
        <v>21</v>
      </c>
    </row>
    <row r="889" spans="1:12" x14ac:dyDescent="0.25">
      <c r="A889" s="17">
        <v>2024</v>
      </c>
      <c r="B889" s="17" t="s">
        <v>36</v>
      </c>
      <c r="C889" s="17" t="s">
        <v>34</v>
      </c>
      <c r="D889" s="17" t="s">
        <v>24</v>
      </c>
      <c r="E889" s="18">
        <v>37683</v>
      </c>
      <c r="F889" s="24">
        <v>25975311.579999998</v>
      </c>
      <c r="G889" s="30">
        <v>6.15</v>
      </c>
      <c r="H889" s="30">
        <v>87.83</v>
      </c>
      <c r="I889" s="17">
        <v>29.56</v>
      </c>
      <c r="J889" s="17">
        <v>270.57</v>
      </c>
      <c r="K889" s="27">
        <v>63.33</v>
      </c>
      <c r="L889" s="17" t="s">
        <v>27</v>
      </c>
    </row>
    <row r="890" spans="1:12" x14ac:dyDescent="0.25">
      <c r="A890" s="12">
        <v>2024</v>
      </c>
      <c r="B890" s="12" t="s">
        <v>37</v>
      </c>
      <c r="C890" s="12" t="s">
        <v>13</v>
      </c>
      <c r="D890" s="12" t="s">
        <v>14</v>
      </c>
      <c r="E890" s="13">
        <v>9805</v>
      </c>
      <c r="F890" s="23">
        <v>4494602.4929999998</v>
      </c>
      <c r="G890" s="29">
        <v>0.27</v>
      </c>
      <c r="H890" s="29">
        <v>59.49</v>
      </c>
      <c r="I890" s="12">
        <v>16.98</v>
      </c>
      <c r="J890" s="12">
        <v>203.22</v>
      </c>
      <c r="K890" s="26">
        <v>57.32</v>
      </c>
      <c r="L890" s="12" t="s">
        <v>19</v>
      </c>
    </row>
    <row r="891" spans="1:12" x14ac:dyDescent="0.25">
      <c r="A891" s="17">
        <v>2024</v>
      </c>
      <c r="B891" s="17" t="s">
        <v>37</v>
      </c>
      <c r="C891" s="17" t="s">
        <v>16</v>
      </c>
      <c r="D891" s="17" t="s">
        <v>14</v>
      </c>
      <c r="E891" s="18">
        <v>39017</v>
      </c>
      <c r="F891" s="24">
        <v>15031174.35</v>
      </c>
      <c r="G891" s="30">
        <v>1.95</v>
      </c>
      <c r="H891" s="30">
        <v>50.4</v>
      </c>
      <c r="I891" s="17">
        <v>25.44</v>
      </c>
      <c r="J891" s="17">
        <v>268.60000000000002</v>
      </c>
      <c r="K891" s="27">
        <v>38.07</v>
      </c>
      <c r="L891" s="17" t="s">
        <v>15</v>
      </c>
    </row>
    <row r="892" spans="1:12" x14ac:dyDescent="0.25">
      <c r="A892" s="12">
        <v>2024</v>
      </c>
      <c r="B892" s="12" t="s">
        <v>37</v>
      </c>
      <c r="C892" s="12" t="s">
        <v>18</v>
      </c>
      <c r="D892" s="12" t="s">
        <v>14</v>
      </c>
      <c r="E892" s="13">
        <v>7534</v>
      </c>
      <c r="F892" s="23">
        <v>29771391.219999999</v>
      </c>
      <c r="G892" s="29">
        <v>3.55</v>
      </c>
      <c r="H892" s="29">
        <v>47.5</v>
      </c>
      <c r="I892" s="12">
        <v>12.56</v>
      </c>
      <c r="J892" s="12">
        <v>51.73</v>
      </c>
      <c r="K892" s="26">
        <v>74.44</v>
      </c>
      <c r="L892" s="12" t="s">
        <v>27</v>
      </c>
    </row>
    <row r="893" spans="1:12" x14ac:dyDescent="0.25">
      <c r="A893" s="17">
        <v>2024</v>
      </c>
      <c r="B893" s="17" t="s">
        <v>37</v>
      </c>
      <c r="C893" s="17" t="s">
        <v>20</v>
      </c>
      <c r="D893" s="17" t="s">
        <v>14</v>
      </c>
      <c r="E893" s="18">
        <v>42266</v>
      </c>
      <c r="F893" s="24">
        <v>23557754.829999998</v>
      </c>
      <c r="G893" s="30">
        <v>0.34</v>
      </c>
      <c r="H893" s="30">
        <v>86.28</v>
      </c>
      <c r="I893" s="17">
        <v>26.49</v>
      </c>
      <c r="J893" s="17">
        <v>294.81</v>
      </c>
      <c r="K893" s="27">
        <v>51.79</v>
      </c>
      <c r="L893" s="17" t="s">
        <v>17</v>
      </c>
    </row>
    <row r="894" spans="1:12" x14ac:dyDescent="0.25">
      <c r="A894" s="12">
        <v>2024</v>
      </c>
      <c r="B894" s="12" t="s">
        <v>37</v>
      </c>
      <c r="C894" s="12" t="s">
        <v>22</v>
      </c>
      <c r="D894" s="12" t="s">
        <v>14</v>
      </c>
      <c r="E894" s="13">
        <v>28852</v>
      </c>
      <c r="F894" s="23">
        <v>14365866.470000001</v>
      </c>
      <c r="G894" s="29">
        <v>0.22999999999999901</v>
      </c>
      <c r="H894" s="29">
        <v>46.1</v>
      </c>
      <c r="I894" s="12">
        <v>3.47</v>
      </c>
      <c r="J894" s="12">
        <v>194.32</v>
      </c>
      <c r="K894" s="26">
        <v>86.51</v>
      </c>
      <c r="L894" s="12" t="s">
        <v>19</v>
      </c>
    </row>
    <row r="895" spans="1:12" x14ac:dyDescent="0.25">
      <c r="A895" s="17">
        <v>2024</v>
      </c>
      <c r="B895" s="17" t="s">
        <v>37</v>
      </c>
      <c r="C895" s="17" t="s">
        <v>23</v>
      </c>
      <c r="D895" s="17" t="s">
        <v>24</v>
      </c>
      <c r="E895" s="18">
        <v>25724</v>
      </c>
      <c r="F895" s="24">
        <v>57565236.579999998</v>
      </c>
      <c r="G895" s="30">
        <v>5.68</v>
      </c>
      <c r="H895" s="30">
        <v>69.979999999999905</v>
      </c>
      <c r="I895" s="17">
        <v>34.17</v>
      </c>
      <c r="J895" s="17">
        <v>231.5</v>
      </c>
      <c r="K895" s="27">
        <v>84.08</v>
      </c>
      <c r="L895" s="17" t="s">
        <v>17</v>
      </c>
    </row>
    <row r="896" spans="1:12" x14ac:dyDescent="0.25">
      <c r="A896" s="12">
        <v>2024</v>
      </c>
      <c r="B896" s="12" t="s">
        <v>37</v>
      </c>
      <c r="C896" s="12" t="s">
        <v>25</v>
      </c>
      <c r="D896" s="12" t="s">
        <v>24</v>
      </c>
      <c r="E896" s="13">
        <v>10554</v>
      </c>
      <c r="F896" s="23">
        <v>21897425.739999998</v>
      </c>
      <c r="G896" s="29">
        <v>5.35</v>
      </c>
      <c r="H896" s="29">
        <v>41.87</v>
      </c>
      <c r="I896" s="12">
        <v>19.649999999999999</v>
      </c>
      <c r="J896" s="12">
        <v>187.87</v>
      </c>
      <c r="K896" s="26">
        <v>87.11</v>
      </c>
      <c r="L896" s="12" t="s">
        <v>15</v>
      </c>
    </row>
    <row r="897" spans="1:12" x14ac:dyDescent="0.25">
      <c r="A897" s="17">
        <v>2024</v>
      </c>
      <c r="B897" s="17" t="s">
        <v>37</v>
      </c>
      <c r="C897" s="17" t="s">
        <v>26</v>
      </c>
      <c r="D897" s="17" t="s">
        <v>24</v>
      </c>
      <c r="E897" s="18">
        <v>63966</v>
      </c>
      <c r="F897" s="24">
        <v>35148376</v>
      </c>
      <c r="G897" s="30">
        <v>3.86</v>
      </c>
      <c r="H897" s="30">
        <v>68.180000000000007</v>
      </c>
      <c r="I897" s="17">
        <v>37.299999999999997</v>
      </c>
      <c r="J897" s="17">
        <v>171.35</v>
      </c>
      <c r="K897" s="27">
        <v>81.11</v>
      </c>
      <c r="L897" s="17" t="s">
        <v>21</v>
      </c>
    </row>
    <row r="898" spans="1:12" x14ac:dyDescent="0.25">
      <c r="A898" s="12">
        <v>2024</v>
      </c>
      <c r="B898" s="12" t="s">
        <v>37</v>
      </c>
      <c r="C898" s="12" t="s">
        <v>28</v>
      </c>
      <c r="D898" s="12" t="s">
        <v>24</v>
      </c>
      <c r="E898" s="13">
        <v>50336</v>
      </c>
      <c r="F898" s="23">
        <v>24239867.16</v>
      </c>
      <c r="G898" s="29">
        <v>4.0599999999999996</v>
      </c>
      <c r="H898" s="29">
        <v>44.48</v>
      </c>
      <c r="I898" s="12">
        <v>16.75</v>
      </c>
      <c r="J898" s="12">
        <v>205.63</v>
      </c>
      <c r="K898" s="26">
        <v>73.459999999999994</v>
      </c>
      <c r="L898" s="12" t="s">
        <v>19</v>
      </c>
    </row>
    <row r="899" spans="1:12" x14ac:dyDescent="0.25">
      <c r="A899" s="17">
        <v>2024</v>
      </c>
      <c r="B899" s="17" t="s">
        <v>37</v>
      </c>
      <c r="C899" s="17" t="s">
        <v>29</v>
      </c>
      <c r="D899" s="17" t="s">
        <v>24</v>
      </c>
      <c r="E899" s="18">
        <v>35834</v>
      </c>
      <c r="F899" s="24">
        <v>8672653.0079999994</v>
      </c>
      <c r="G899" s="30">
        <v>3.47</v>
      </c>
      <c r="H899" s="30">
        <v>79.11</v>
      </c>
      <c r="I899" s="17">
        <v>20.48</v>
      </c>
      <c r="J899" s="17">
        <v>97.86</v>
      </c>
      <c r="K899" s="27">
        <v>49</v>
      </c>
      <c r="L899" s="17" t="s">
        <v>19</v>
      </c>
    </row>
    <row r="900" spans="1:12" x14ac:dyDescent="0.25">
      <c r="A900" s="12">
        <v>2024</v>
      </c>
      <c r="B900" s="12" t="s">
        <v>37</v>
      </c>
      <c r="C900" s="12" t="s">
        <v>30</v>
      </c>
      <c r="D900" s="12" t="s">
        <v>24</v>
      </c>
      <c r="E900" s="13">
        <v>28368</v>
      </c>
      <c r="F900" s="23">
        <v>17639255.890000001</v>
      </c>
      <c r="G900" s="29">
        <v>5.79</v>
      </c>
      <c r="H900" s="29">
        <v>47.78</v>
      </c>
      <c r="I900" s="12">
        <v>35.700000000000003</v>
      </c>
      <c r="J900" s="12">
        <v>99.55</v>
      </c>
      <c r="K900" s="26">
        <v>92.85</v>
      </c>
      <c r="L900" s="12" t="s">
        <v>27</v>
      </c>
    </row>
    <row r="901" spans="1:12" x14ac:dyDescent="0.25">
      <c r="A901" s="17">
        <v>2024</v>
      </c>
      <c r="B901" s="17" t="s">
        <v>37</v>
      </c>
      <c r="C901" s="17" t="s">
        <v>31</v>
      </c>
      <c r="D901" s="17" t="s">
        <v>24</v>
      </c>
      <c r="E901" s="18">
        <v>31313</v>
      </c>
      <c r="F901" s="24">
        <v>33616387.43</v>
      </c>
      <c r="G901" s="30">
        <v>6.7</v>
      </c>
      <c r="H901" s="30">
        <v>59.12</v>
      </c>
      <c r="I901" s="17">
        <v>51.35</v>
      </c>
      <c r="J901" s="17">
        <v>229.94</v>
      </c>
      <c r="K901" s="27">
        <v>66.099999999999994</v>
      </c>
      <c r="L901" s="17" t="s">
        <v>21</v>
      </c>
    </row>
    <row r="902" spans="1:12" x14ac:dyDescent="0.25">
      <c r="A902" s="12">
        <v>2024</v>
      </c>
      <c r="B902" s="12" t="s">
        <v>37</v>
      </c>
      <c r="C902" s="12" t="s">
        <v>32</v>
      </c>
      <c r="D902" s="12" t="s">
        <v>24</v>
      </c>
      <c r="E902" s="13">
        <v>10175</v>
      </c>
      <c r="F902" s="23">
        <v>31584423.949999999</v>
      </c>
      <c r="G902" s="29">
        <v>6.39</v>
      </c>
      <c r="H902" s="29">
        <v>86.4</v>
      </c>
      <c r="I902" s="12">
        <v>6.87</v>
      </c>
      <c r="J902" s="12">
        <v>170.92</v>
      </c>
      <c r="K902" s="26">
        <v>87.54</v>
      </c>
      <c r="L902" s="12" t="s">
        <v>15</v>
      </c>
    </row>
    <row r="903" spans="1:12" x14ac:dyDescent="0.25">
      <c r="A903" s="17">
        <v>2024</v>
      </c>
      <c r="B903" s="17" t="s">
        <v>37</v>
      </c>
      <c r="C903" s="17" t="s">
        <v>33</v>
      </c>
      <c r="D903" s="17" t="s">
        <v>24</v>
      </c>
      <c r="E903" s="18">
        <v>27459</v>
      </c>
      <c r="F903" s="24">
        <v>48297091.175999902</v>
      </c>
      <c r="G903" s="30">
        <v>2.65</v>
      </c>
      <c r="H903" s="30">
        <v>73.66</v>
      </c>
      <c r="I903" s="17">
        <v>17.95</v>
      </c>
      <c r="J903" s="17">
        <v>186.37</v>
      </c>
      <c r="K903" s="27">
        <v>92.94</v>
      </c>
      <c r="L903" s="17" t="s">
        <v>21</v>
      </c>
    </row>
    <row r="904" spans="1:12" x14ac:dyDescent="0.25">
      <c r="A904" s="12">
        <v>2024</v>
      </c>
      <c r="B904" s="12" t="s">
        <v>37</v>
      </c>
      <c r="C904" s="12" t="s">
        <v>34</v>
      </c>
      <c r="D904" s="12" t="s">
        <v>24</v>
      </c>
      <c r="E904" s="13">
        <v>23576</v>
      </c>
      <c r="F904" s="23">
        <v>7378715.04</v>
      </c>
      <c r="G904" s="29">
        <v>4.9400000000000004</v>
      </c>
      <c r="H904" s="29">
        <v>92.65</v>
      </c>
      <c r="I904" s="12">
        <v>27.65</v>
      </c>
      <c r="J904" s="12">
        <v>261.8</v>
      </c>
      <c r="K904" s="26">
        <v>75.180000000000007</v>
      </c>
      <c r="L904" s="12" t="s">
        <v>15</v>
      </c>
    </row>
    <row r="905" spans="1:12" x14ac:dyDescent="0.25">
      <c r="A905" s="17">
        <v>2024</v>
      </c>
      <c r="B905" s="17" t="s">
        <v>12</v>
      </c>
      <c r="C905" s="17" t="s">
        <v>13</v>
      </c>
      <c r="D905" s="17" t="s">
        <v>14</v>
      </c>
      <c r="E905" s="18">
        <v>37131</v>
      </c>
      <c r="F905" s="24">
        <v>45587127.689999998</v>
      </c>
      <c r="G905" s="30">
        <v>0.59</v>
      </c>
      <c r="H905" s="30">
        <v>83.06</v>
      </c>
      <c r="I905" s="17">
        <v>0.33999999999999903</v>
      </c>
      <c r="J905" s="17">
        <v>274.2</v>
      </c>
      <c r="K905" s="27">
        <v>42.93</v>
      </c>
      <c r="L905" s="17" t="s">
        <v>21</v>
      </c>
    </row>
    <row r="906" spans="1:12" x14ac:dyDescent="0.25">
      <c r="A906" s="12">
        <v>2024</v>
      </c>
      <c r="B906" s="12" t="s">
        <v>12</v>
      </c>
      <c r="C906" s="12" t="s">
        <v>16</v>
      </c>
      <c r="D906" s="12" t="s">
        <v>14</v>
      </c>
      <c r="E906" s="13">
        <v>22947</v>
      </c>
      <c r="F906" s="23">
        <v>10581556.07</v>
      </c>
      <c r="G906" s="29">
        <v>2.0299999999999998</v>
      </c>
      <c r="H906" s="29">
        <v>51.05</v>
      </c>
      <c r="I906" s="12">
        <v>13.99</v>
      </c>
      <c r="J906" s="12">
        <v>62.01</v>
      </c>
      <c r="K906" s="26">
        <v>43.39</v>
      </c>
      <c r="L906" s="12" t="s">
        <v>27</v>
      </c>
    </row>
    <row r="907" spans="1:12" x14ac:dyDescent="0.25">
      <c r="A907" s="17">
        <v>2024</v>
      </c>
      <c r="B907" s="17" t="s">
        <v>12</v>
      </c>
      <c r="C907" s="17" t="s">
        <v>18</v>
      </c>
      <c r="D907" s="17" t="s">
        <v>14</v>
      </c>
      <c r="E907" s="18">
        <v>32783</v>
      </c>
      <c r="F907" s="24">
        <v>24954402.68</v>
      </c>
      <c r="G907" s="30">
        <v>-0.12</v>
      </c>
      <c r="H907" s="30">
        <v>68.38</v>
      </c>
      <c r="I907" s="17">
        <v>18.52</v>
      </c>
      <c r="J907" s="17">
        <v>165.62</v>
      </c>
      <c r="K907" s="27">
        <v>84.08</v>
      </c>
      <c r="L907" s="17" t="s">
        <v>15</v>
      </c>
    </row>
    <row r="908" spans="1:12" x14ac:dyDescent="0.25">
      <c r="A908" s="12">
        <v>2024</v>
      </c>
      <c r="B908" s="12" t="s">
        <v>12</v>
      </c>
      <c r="C908" s="12" t="s">
        <v>20</v>
      </c>
      <c r="D908" s="12" t="s">
        <v>14</v>
      </c>
      <c r="E908" s="13">
        <v>11825</v>
      </c>
      <c r="F908" s="23">
        <v>26416166.620000001</v>
      </c>
      <c r="G908" s="29">
        <v>3.72</v>
      </c>
      <c r="H908" s="29">
        <v>48.75</v>
      </c>
      <c r="I908" s="12">
        <v>13.42</v>
      </c>
      <c r="J908" s="12">
        <v>267.68</v>
      </c>
      <c r="K908" s="26">
        <v>82.48</v>
      </c>
      <c r="L908" s="12" t="s">
        <v>15</v>
      </c>
    </row>
    <row r="909" spans="1:12" x14ac:dyDescent="0.25">
      <c r="A909" s="17">
        <v>2024</v>
      </c>
      <c r="B909" s="17" t="s">
        <v>12</v>
      </c>
      <c r="C909" s="17" t="s">
        <v>22</v>
      </c>
      <c r="D909" s="17" t="s">
        <v>14</v>
      </c>
      <c r="E909" s="18">
        <v>11094</v>
      </c>
      <c r="F909" s="24">
        <v>32422221.329999998</v>
      </c>
      <c r="G909" s="30">
        <v>2.75</v>
      </c>
      <c r="H909" s="30">
        <v>69.33</v>
      </c>
      <c r="I909" s="17">
        <v>8.1999999999999993</v>
      </c>
      <c r="J909" s="17">
        <v>259.14999999999998</v>
      </c>
      <c r="K909" s="27">
        <v>73.14</v>
      </c>
      <c r="L909" s="17" t="s">
        <v>19</v>
      </c>
    </row>
    <row r="910" spans="1:12" x14ac:dyDescent="0.25">
      <c r="A910" s="12">
        <v>2024</v>
      </c>
      <c r="B910" s="12" t="s">
        <v>12</v>
      </c>
      <c r="C910" s="12" t="s">
        <v>23</v>
      </c>
      <c r="D910" s="12" t="s">
        <v>24</v>
      </c>
      <c r="E910" s="13">
        <v>54883</v>
      </c>
      <c r="F910" s="23">
        <v>29105714.760000002</v>
      </c>
      <c r="G910" s="29">
        <v>6.45</v>
      </c>
      <c r="H910" s="29">
        <v>41.13</v>
      </c>
      <c r="I910" s="12">
        <v>51.34</v>
      </c>
      <c r="J910" s="12">
        <v>117.64</v>
      </c>
      <c r="K910" s="26">
        <v>58.15</v>
      </c>
      <c r="L910" s="12" t="s">
        <v>21</v>
      </c>
    </row>
    <row r="911" spans="1:12" x14ac:dyDescent="0.25">
      <c r="A911" s="17">
        <v>2024</v>
      </c>
      <c r="B911" s="17" t="s">
        <v>12</v>
      </c>
      <c r="C911" s="17" t="s">
        <v>25</v>
      </c>
      <c r="D911" s="17" t="s">
        <v>24</v>
      </c>
      <c r="E911" s="18">
        <v>31220</v>
      </c>
      <c r="F911" s="24">
        <v>36722606.380000003</v>
      </c>
      <c r="G911" s="30">
        <v>6.53</v>
      </c>
      <c r="H911" s="30">
        <v>40.51</v>
      </c>
      <c r="I911" s="17">
        <v>32.239999999999903</v>
      </c>
      <c r="J911" s="17">
        <v>130.35</v>
      </c>
      <c r="K911" s="27">
        <v>80.87</v>
      </c>
      <c r="L911" s="17" t="s">
        <v>17</v>
      </c>
    </row>
    <row r="912" spans="1:12" x14ac:dyDescent="0.25">
      <c r="A912" s="12">
        <v>2024</v>
      </c>
      <c r="B912" s="12" t="s">
        <v>12</v>
      </c>
      <c r="C912" s="12" t="s">
        <v>26</v>
      </c>
      <c r="D912" s="12" t="s">
        <v>24</v>
      </c>
      <c r="E912" s="13">
        <v>11255</v>
      </c>
      <c r="F912" s="23">
        <v>40448789.530000001</v>
      </c>
      <c r="G912" s="29">
        <v>6.91</v>
      </c>
      <c r="H912" s="29">
        <v>69.89</v>
      </c>
      <c r="I912" s="12">
        <v>14.95</v>
      </c>
      <c r="J912" s="12">
        <v>211</v>
      </c>
      <c r="K912" s="26">
        <v>67.67</v>
      </c>
      <c r="L912" s="12" t="s">
        <v>21</v>
      </c>
    </row>
    <row r="913" spans="1:12" x14ac:dyDescent="0.25">
      <c r="A913" s="17">
        <v>2024</v>
      </c>
      <c r="B913" s="17" t="s">
        <v>12</v>
      </c>
      <c r="C913" s="17" t="s">
        <v>28</v>
      </c>
      <c r="D913" s="17" t="s">
        <v>24</v>
      </c>
      <c r="E913" s="18">
        <v>62968</v>
      </c>
      <c r="F913" s="24">
        <v>36037742.340000004</v>
      </c>
      <c r="G913" s="30">
        <v>3.27</v>
      </c>
      <c r="H913" s="30">
        <v>91.81</v>
      </c>
      <c r="I913" s="17">
        <v>35.090000000000003</v>
      </c>
      <c r="J913" s="17">
        <v>236.61</v>
      </c>
      <c r="K913" s="27">
        <v>93.38</v>
      </c>
      <c r="L913" s="17" t="s">
        <v>19</v>
      </c>
    </row>
    <row r="914" spans="1:12" x14ac:dyDescent="0.25">
      <c r="A914" s="12">
        <v>2024</v>
      </c>
      <c r="B914" s="12" t="s">
        <v>12</v>
      </c>
      <c r="C914" s="12" t="s">
        <v>29</v>
      </c>
      <c r="D914" s="12" t="s">
        <v>24</v>
      </c>
      <c r="E914" s="13">
        <v>57073</v>
      </c>
      <c r="F914" s="23">
        <v>27851665.91</v>
      </c>
      <c r="G914" s="29">
        <v>2.61</v>
      </c>
      <c r="H914" s="29">
        <v>66.33</v>
      </c>
      <c r="I914" s="12">
        <v>8.11</v>
      </c>
      <c r="J914" s="12">
        <v>196.33</v>
      </c>
      <c r="K914" s="26">
        <v>89.62</v>
      </c>
      <c r="L914" s="12" t="s">
        <v>17</v>
      </c>
    </row>
    <row r="915" spans="1:12" x14ac:dyDescent="0.25">
      <c r="A915" s="17">
        <v>2024</v>
      </c>
      <c r="B915" s="17" t="s">
        <v>12</v>
      </c>
      <c r="C915" s="17" t="s">
        <v>30</v>
      </c>
      <c r="D915" s="17" t="s">
        <v>24</v>
      </c>
      <c r="E915" s="18">
        <v>43911</v>
      </c>
      <c r="F915" s="24">
        <v>45501962.543999903</v>
      </c>
      <c r="G915" s="30">
        <v>4.21</v>
      </c>
      <c r="H915" s="30">
        <v>45.54</v>
      </c>
      <c r="I915" s="17">
        <v>47.18</v>
      </c>
      <c r="J915" s="17">
        <v>293.87</v>
      </c>
      <c r="K915" s="27">
        <v>46.55</v>
      </c>
      <c r="L915" s="17" t="s">
        <v>27</v>
      </c>
    </row>
    <row r="916" spans="1:12" x14ac:dyDescent="0.25">
      <c r="A916" s="12">
        <v>2024</v>
      </c>
      <c r="B916" s="12" t="s">
        <v>12</v>
      </c>
      <c r="C916" s="12" t="s">
        <v>31</v>
      </c>
      <c r="D916" s="12" t="s">
        <v>24</v>
      </c>
      <c r="E916" s="13">
        <v>6628</v>
      </c>
      <c r="F916" s="23">
        <v>36995468.590000004</v>
      </c>
      <c r="G916" s="29">
        <v>4.8099999999999996</v>
      </c>
      <c r="H916" s="29">
        <v>93.86</v>
      </c>
      <c r="I916" s="12">
        <v>26.43</v>
      </c>
      <c r="J916" s="12">
        <v>157.51</v>
      </c>
      <c r="K916" s="26">
        <v>45.53</v>
      </c>
      <c r="L916" s="12" t="s">
        <v>27</v>
      </c>
    </row>
    <row r="917" spans="1:12" x14ac:dyDescent="0.25">
      <c r="A917" s="17">
        <v>2024</v>
      </c>
      <c r="B917" s="17" t="s">
        <v>12</v>
      </c>
      <c r="C917" s="17" t="s">
        <v>32</v>
      </c>
      <c r="D917" s="17" t="s">
        <v>24</v>
      </c>
      <c r="E917" s="18">
        <v>54366</v>
      </c>
      <c r="F917" s="24">
        <v>58337180.299999997</v>
      </c>
      <c r="G917" s="30">
        <v>2.87</v>
      </c>
      <c r="H917" s="30">
        <v>90.7</v>
      </c>
      <c r="I917" s="17">
        <v>13.54</v>
      </c>
      <c r="J917" s="17">
        <v>83.75</v>
      </c>
      <c r="K917" s="27">
        <v>56.88</v>
      </c>
      <c r="L917" s="17" t="s">
        <v>15</v>
      </c>
    </row>
    <row r="918" spans="1:12" x14ac:dyDescent="0.25">
      <c r="A918" s="12">
        <v>2024</v>
      </c>
      <c r="B918" s="12" t="s">
        <v>12</v>
      </c>
      <c r="C918" s="12" t="s">
        <v>33</v>
      </c>
      <c r="D918" s="12" t="s">
        <v>24</v>
      </c>
      <c r="E918" s="13">
        <v>43162</v>
      </c>
      <c r="F918" s="23">
        <v>43400860.595999897</v>
      </c>
      <c r="G918" s="29">
        <v>3.11</v>
      </c>
      <c r="H918" s="29">
        <v>73.38</v>
      </c>
      <c r="I918" s="12">
        <v>46.43</v>
      </c>
      <c r="J918" s="12">
        <v>195.74</v>
      </c>
      <c r="K918" s="26">
        <v>49.58</v>
      </c>
      <c r="L918" s="12" t="s">
        <v>19</v>
      </c>
    </row>
    <row r="919" spans="1:12" x14ac:dyDescent="0.25">
      <c r="A919" s="17">
        <v>2024</v>
      </c>
      <c r="B919" s="17" t="s">
        <v>12</v>
      </c>
      <c r="C919" s="17" t="s">
        <v>34</v>
      </c>
      <c r="D919" s="17" t="s">
        <v>24</v>
      </c>
      <c r="E919" s="18">
        <v>24624</v>
      </c>
      <c r="F919" s="24">
        <v>36547057.850000001</v>
      </c>
      <c r="G919" s="30">
        <v>6.92</v>
      </c>
      <c r="H919" s="30">
        <v>54.55</v>
      </c>
      <c r="I919" s="17">
        <v>50.77</v>
      </c>
      <c r="J919" s="17">
        <v>120.07</v>
      </c>
      <c r="K919" s="27">
        <v>50.72</v>
      </c>
      <c r="L919" s="17" t="s">
        <v>21</v>
      </c>
    </row>
    <row r="920" spans="1:12" x14ac:dyDescent="0.25">
      <c r="A920" s="12">
        <v>2024</v>
      </c>
      <c r="B920" s="12" t="s">
        <v>35</v>
      </c>
      <c r="C920" s="12" t="s">
        <v>13</v>
      </c>
      <c r="D920" s="12" t="s">
        <v>14</v>
      </c>
      <c r="E920" s="13">
        <v>26237</v>
      </c>
      <c r="F920" s="23">
        <v>30930455.537999999</v>
      </c>
      <c r="G920" s="29">
        <v>2.72</v>
      </c>
      <c r="H920" s="29">
        <v>30.37</v>
      </c>
      <c r="I920" s="12">
        <v>43.72</v>
      </c>
      <c r="J920" s="12">
        <v>205.74</v>
      </c>
      <c r="K920" s="26">
        <v>48.09</v>
      </c>
      <c r="L920" s="12" t="s">
        <v>19</v>
      </c>
    </row>
    <row r="921" spans="1:12" x14ac:dyDescent="0.25">
      <c r="A921" s="17">
        <v>2024</v>
      </c>
      <c r="B921" s="17" t="s">
        <v>35</v>
      </c>
      <c r="C921" s="17" t="s">
        <v>16</v>
      </c>
      <c r="D921" s="17" t="s">
        <v>14</v>
      </c>
      <c r="E921" s="18">
        <v>22269</v>
      </c>
      <c r="F921" s="24">
        <v>16275671.49</v>
      </c>
      <c r="G921" s="30">
        <v>2.2400000000000002</v>
      </c>
      <c r="H921" s="30">
        <v>67.36</v>
      </c>
      <c r="I921" s="17">
        <v>2.27</v>
      </c>
      <c r="J921" s="17">
        <v>216.59</v>
      </c>
      <c r="K921" s="27">
        <v>73.239999999999995</v>
      </c>
      <c r="L921" s="17" t="s">
        <v>21</v>
      </c>
    </row>
    <row r="922" spans="1:12" x14ac:dyDescent="0.25">
      <c r="A922" s="12">
        <v>2024</v>
      </c>
      <c r="B922" s="12" t="s">
        <v>35</v>
      </c>
      <c r="C922" s="12" t="s">
        <v>18</v>
      </c>
      <c r="D922" s="12" t="s">
        <v>14</v>
      </c>
      <c r="E922" s="13">
        <v>27314</v>
      </c>
      <c r="F922" s="23">
        <v>25415808.77</v>
      </c>
      <c r="G922" s="29">
        <v>0.48</v>
      </c>
      <c r="H922" s="29">
        <v>88.91</v>
      </c>
      <c r="I922" s="12">
        <v>13.08</v>
      </c>
      <c r="J922" s="12">
        <v>84.12</v>
      </c>
      <c r="K922" s="26">
        <v>40.119999999999997</v>
      </c>
      <c r="L922" s="12" t="s">
        <v>27</v>
      </c>
    </row>
    <row r="923" spans="1:12" x14ac:dyDescent="0.25">
      <c r="A923" s="17">
        <v>2024</v>
      </c>
      <c r="B923" s="17" t="s">
        <v>35</v>
      </c>
      <c r="C923" s="17" t="s">
        <v>20</v>
      </c>
      <c r="D923" s="17" t="s">
        <v>14</v>
      </c>
      <c r="E923" s="18">
        <v>18938</v>
      </c>
      <c r="F923" s="24">
        <v>16203612.710000001</v>
      </c>
      <c r="G923" s="30">
        <v>3.04</v>
      </c>
      <c r="H923" s="30">
        <v>84.26</v>
      </c>
      <c r="I923" s="17">
        <v>14.97</v>
      </c>
      <c r="J923" s="17">
        <v>201.33</v>
      </c>
      <c r="K923" s="27">
        <v>75.69</v>
      </c>
      <c r="L923" s="17" t="s">
        <v>27</v>
      </c>
    </row>
    <row r="924" spans="1:12" x14ac:dyDescent="0.25">
      <c r="A924" s="12">
        <v>2024</v>
      </c>
      <c r="B924" s="12" t="s">
        <v>35</v>
      </c>
      <c r="C924" s="12" t="s">
        <v>22</v>
      </c>
      <c r="D924" s="12" t="s">
        <v>14</v>
      </c>
      <c r="E924" s="13">
        <v>14478</v>
      </c>
      <c r="F924" s="23">
        <v>46356728.390000001</v>
      </c>
      <c r="G924" s="29">
        <v>1.47</v>
      </c>
      <c r="H924" s="29">
        <v>44.98</v>
      </c>
      <c r="I924" s="12">
        <v>31.83</v>
      </c>
      <c r="J924" s="12">
        <v>190.4</v>
      </c>
      <c r="K924" s="26">
        <v>78.16</v>
      </c>
      <c r="L924" s="12" t="s">
        <v>17</v>
      </c>
    </row>
    <row r="925" spans="1:12" x14ac:dyDescent="0.25">
      <c r="A925" s="17">
        <v>2024</v>
      </c>
      <c r="B925" s="17" t="s">
        <v>35</v>
      </c>
      <c r="C925" s="17" t="s">
        <v>23</v>
      </c>
      <c r="D925" s="17" t="s">
        <v>24</v>
      </c>
      <c r="E925" s="18">
        <v>64381</v>
      </c>
      <c r="F925" s="24">
        <v>8891741.3399999999</v>
      </c>
      <c r="G925" s="30">
        <v>3.46</v>
      </c>
      <c r="H925" s="30">
        <v>81.540000000000006</v>
      </c>
      <c r="I925" s="17">
        <v>25.48</v>
      </c>
      <c r="J925" s="17">
        <v>147.47999999999999</v>
      </c>
      <c r="K925" s="27">
        <v>52.94</v>
      </c>
      <c r="L925" s="17" t="s">
        <v>21</v>
      </c>
    </row>
    <row r="926" spans="1:12" x14ac:dyDescent="0.25">
      <c r="A926" s="12">
        <v>2024</v>
      </c>
      <c r="B926" s="12" t="s">
        <v>35</v>
      </c>
      <c r="C926" s="12" t="s">
        <v>25</v>
      </c>
      <c r="D926" s="12" t="s">
        <v>24</v>
      </c>
      <c r="E926" s="13">
        <v>33515</v>
      </c>
      <c r="F926" s="23">
        <v>35787763.82</v>
      </c>
      <c r="G926" s="29">
        <v>4.3</v>
      </c>
      <c r="H926" s="29">
        <v>82.09</v>
      </c>
      <c r="I926" s="12">
        <v>44.83</v>
      </c>
      <c r="J926" s="12">
        <v>256.14</v>
      </c>
      <c r="K926" s="26">
        <v>51.86</v>
      </c>
      <c r="L926" s="12" t="s">
        <v>17</v>
      </c>
    </row>
    <row r="927" spans="1:12" x14ac:dyDescent="0.25">
      <c r="A927" s="17">
        <v>2024</v>
      </c>
      <c r="B927" s="17" t="s">
        <v>35</v>
      </c>
      <c r="C927" s="17" t="s">
        <v>26</v>
      </c>
      <c r="D927" s="17" t="s">
        <v>24</v>
      </c>
      <c r="E927" s="18">
        <v>14587</v>
      </c>
      <c r="F927" s="24">
        <v>28041204.800000001</v>
      </c>
      <c r="G927" s="30">
        <v>2.85</v>
      </c>
      <c r="H927" s="30">
        <v>53.66</v>
      </c>
      <c r="I927" s="17">
        <v>51.8</v>
      </c>
      <c r="J927" s="17">
        <v>126.75</v>
      </c>
      <c r="K927" s="27">
        <v>94.43</v>
      </c>
      <c r="L927" s="17" t="s">
        <v>15</v>
      </c>
    </row>
    <row r="928" spans="1:12" x14ac:dyDescent="0.25">
      <c r="A928" s="12">
        <v>2024</v>
      </c>
      <c r="B928" s="12" t="s">
        <v>35</v>
      </c>
      <c r="C928" s="12" t="s">
        <v>28</v>
      </c>
      <c r="D928" s="12" t="s">
        <v>24</v>
      </c>
      <c r="E928" s="13">
        <v>47712</v>
      </c>
      <c r="F928" s="23">
        <v>18117011.059999999</v>
      </c>
      <c r="G928" s="29">
        <v>3.62</v>
      </c>
      <c r="H928" s="29">
        <v>64.38</v>
      </c>
      <c r="I928" s="12">
        <v>33.69</v>
      </c>
      <c r="J928" s="12">
        <v>172.94</v>
      </c>
      <c r="K928" s="26">
        <v>72.78</v>
      </c>
      <c r="L928" s="12" t="s">
        <v>21</v>
      </c>
    </row>
    <row r="929" spans="1:12" x14ac:dyDescent="0.25">
      <c r="A929" s="17">
        <v>2024</v>
      </c>
      <c r="B929" s="17" t="s">
        <v>35</v>
      </c>
      <c r="C929" s="17" t="s">
        <v>29</v>
      </c>
      <c r="D929" s="17" t="s">
        <v>24</v>
      </c>
      <c r="E929" s="18">
        <v>24276</v>
      </c>
      <c r="F929" s="24">
        <v>82025137.200000003</v>
      </c>
      <c r="G929" s="30">
        <v>6.27</v>
      </c>
      <c r="H929" s="30">
        <v>51.96</v>
      </c>
      <c r="I929" s="17">
        <v>37.97</v>
      </c>
      <c r="J929" s="17">
        <v>177.35</v>
      </c>
      <c r="K929" s="27">
        <v>73.86</v>
      </c>
      <c r="L929" s="17" t="s">
        <v>17</v>
      </c>
    </row>
    <row r="930" spans="1:12" x14ac:dyDescent="0.25">
      <c r="A930" s="12">
        <v>2024</v>
      </c>
      <c r="B930" s="12" t="s">
        <v>35</v>
      </c>
      <c r="C930" s="12" t="s">
        <v>30</v>
      </c>
      <c r="D930" s="12" t="s">
        <v>24</v>
      </c>
      <c r="E930" s="13">
        <v>28349</v>
      </c>
      <c r="F930" s="23">
        <v>29473665.23</v>
      </c>
      <c r="G930" s="29">
        <v>6.51</v>
      </c>
      <c r="H930" s="29">
        <v>94.18</v>
      </c>
      <c r="I930" s="12">
        <v>34.270000000000003</v>
      </c>
      <c r="J930" s="12">
        <v>103.77</v>
      </c>
      <c r="K930" s="26">
        <v>65.41</v>
      </c>
      <c r="L930" s="12" t="s">
        <v>15</v>
      </c>
    </row>
    <row r="931" spans="1:12" x14ac:dyDescent="0.25">
      <c r="A931" s="17">
        <v>2024</v>
      </c>
      <c r="B931" s="17" t="s">
        <v>35</v>
      </c>
      <c r="C931" s="17" t="s">
        <v>31</v>
      </c>
      <c r="D931" s="17" t="s">
        <v>24</v>
      </c>
      <c r="E931" s="18">
        <v>33169</v>
      </c>
      <c r="F931" s="24">
        <v>35954900.030000001</v>
      </c>
      <c r="G931" s="30">
        <v>5.42</v>
      </c>
      <c r="H931" s="30">
        <v>53.54</v>
      </c>
      <c r="I931" s="17">
        <v>26.02</v>
      </c>
      <c r="J931" s="17">
        <v>294.86</v>
      </c>
      <c r="K931" s="27">
        <v>54.66</v>
      </c>
      <c r="L931" s="17" t="s">
        <v>27</v>
      </c>
    </row>
    <row r="932" spans="1:12" x14ac:dyDescent="0.25">
      <c r="A932" s="12">
        <v>2024</v>
      </c>
      <c r="B932" s="12" t="s">
        <v>35</v>
      </c>
      <c r="C932" s="12" t="s">
        <v>32</v>
      </c>
      <c r="D932" s="12" t="s">
        <v>24</v>
      </c>
      <c r="E932" s="13">
        <v>7463</v>
      </c>
      <c r="F932" s="23">
        <v>54322194.789999999</v>
      </c>
      <c r="G932" s="29">
        <v>3.42</v>
      </c>
      <c r="H932" s="29">
        <v>84.33</v>
      </c>
      <c r="I932" s="12">
        <v>29.05</v>
      </c>
      <c r="J932" s="12">
        <v>82.85</v>
      </c>
      <c r="K932" s="26">
        <v>88.18</v>
      </c>
      <c r="L932" s="12" t="s">
        <v>21</v>
      </c>
    </row>
    <row r="933" spans="1:12" x14ac:dyDescent="0.25">
      <c r="A933" s="17">
        <v>2024</v>
      </c>
      <c r="B933" s="17" t="s">
        <v>35</v>
      </c>
      <c r="C933" s="17" t="s">
        <v>33</v>
      </c>
      <c r="D933" s="17" t="s">
        <v>24</v>
      </c>
      <c r="E933" s="18">
        <v>16723</v>
      </c>
      <c r="F933" s="24">
        <v>10462398.76</v>
      </c>
      <c r="G933" s="30">
        <v>5.79</v>
      </c>
      <c r="H933" s="30">
        <v>80.56</v>
      </c>
      <c r="I933" s="17">
        <v>28.87</v>
      </c>
      <c r="J933" s="17">
        <v>162.51</v>
      </c>
      <c r="K933" s="27">
        <v>72.81</v>
      </c>
      <c r="L933" s="17" t="s">
        <v>19</v>
      </c>
    </row>
    <row r="934" spans="1:12" x14ac:dyDescent="0.25">
      <c r="A934" s="12">
        <v>2024</v>
      </c>
      <c r="B934" s="12" t="s">
        <v>35</v>
      </c>
      <c r="C934" s="12" t="s">
        <v>34</v>
      </c>
      <c r="D934" s="12" t="s">
        <v>24</v>
      </c>
      <c r="E934" s="13">
        <v>44327</v>
      </c>
      <c r="F934" s="23">
        <v>51331262.543999903</v>
      </c>
      <c r="G934" s="29">
        <v>4.95</v>
      </c>
      <c r="H934" s="29">
        <v>78.31</v>
      </c>
      <c r="I934" s="12">
        <v>41.66</v>
      </c>
      <c r="J934" s="12">
        <v>198.84</v>
      </c>
      <c r="K934" s="26">
        <v>46.44</v>
      </c>
      <c r="L934" s="12" t="s">
        <v>19</v>
      </c>
    </row>
    <row r="935" spans="1:12" x14ac:dyDescent="0.25">
      <c r="A935" s="17">
        <v>2024</v>
      </c>
      <c r="B935" s="17" t="s">
        <v>36</v>
      </c>
      <c r="C935" s="17" t="s">
        <v>13</v>
      </c>
      <c r="D935" s="17" t="s">
        <v>14</v>
      </c>
      <c r="E935" s="18">
        <v>32671</v>
      </c>
      <c r="F935" s="24">
        <v>47591496.990000002</v>
      </c>
      <c r="G935" s="30">
        <v>2.77</v>
      </c>
      <c r="H935" s="30">
        <v>27.94</v>
      </c>
      <c r="I935" s="17">
        <v>32.880000000000003</v>
      </c>
      <c r="J935" s="17">
        <v>71.209999999999994</v>
      </c>
      <c r="K935" s="27">
        <v>82.95</v>
      </c>
      <c r="L935" s="17" t="s">
        <v>15</v>
      </c>
    </row>
    <row r="936" spans="1:12" x14ac:dyDescent="0.25">
      <c r="A936" s="12">
        <v>2024</v>
      </c>
      <c r="B936" s="12" t="s">
        <v>36</v>
      </c>
      <c r="C936" s="12" t="s">
        <v>16</v>
      </c>
      <c r="D936" s="12" t="s">
        <v>14</v>
      </c>
      <c r="E936" s="13">
        <v>40214</v>
      </c>
      <c r="F936" s="23">
        <v>41136987.82</v>
      </c>
      <c r="G936" s="29">
        <v>0.13999999999999899</v>
      </c>
      <c r="H936" s="29">
        <v>87.83</v>
      </c>
      <c r="I936" s="12">
        <v>40.29</v>
      </c>
      <c r="J936" s="12">
        <v>259.95</v>
      </c>
      <c r="K936" s="26">
        <v>42.51</v>
      </c>
      <c r="L936" s="12" t="s">
        <v>15</v>
      </c>
    </row>
    <row r="937" spans="1:12" x14ac:dyDescent="0.25">
      <c r="A937" s="17">
        <v>2024</v>
      </c>
      <c r="B937" s="17" t="s">
        <v>36</v>
      </c>
      <c r="C937" s="17" t="s">
        <v>18</v>
      </c>
      <c r="D937" s="17" t="s">
        <v>14</v>
      </c>
      <c r="E937" s="18">
        <v>5564</v>
      </c>
      <c r="F937" s="24">
        <v>59801417.460000001</v>
      </c>
      <c r="G937" s="30">
        <v>3.5</v>
      </c>
      <c r="H937" s="30">
        <v>48.6</v>
      </c>
      <c r="I937" s="17">
        <v>29.86</v>
      </c>
      <c r="J937" s="17">
        <v>213.04</v>
      </c>
      <c r="K937" s="27">
        <v>46.39</v>
      </c>
      <c r="L937" s="17" t="s">
        <v>27</v>
      </c>
    </row>
    <row r="938" spans="1:12" x14ac:dyDescent="0.25">
      <c r="A938" s="12">
        <v>2024</v>
      </c>
      <c r="B938" s="12" t="s">
        <v>36</v>
      </c>
      <c r="C938" s="12" t="s">
        <v>20</v>
      </c>
      <c r="D938" s="12" t="s">
        <v>14</v>
      </c>
      <c r="E938" s="13">
        <v>19903</v>
      </c>
      <c r="F938" s="23">
        <v>17437926.68</v>
      </c>
      <c r="G938" s="29">
        <v>3.41</v>
      </c>
      <c r="H938" s="29">
        <v>61.77</v>
      </c>
      <c r="I938" s="12">
        <v>2.81</v>
      </c>
      <c r="J938" s="12">
        <v>289.86</v>
      </c>
      <c r="K938" s="26">
        <v>52.2</v>
      </c>
      <c r="L938" s="12" t="s">
        <v>19</v>
      </c>
    </row>
    <row r="939" spans="1:12" x14ac:dyDescent="0.25">
      <c r="A939" s="17">
        <v>2024</v>
      </c>
      <c r="B939" s="17" t="s">
        <v>36</v>
      </c>
      <c r="C939" s="17" t="s">
        <v>22</v>
      </c>
      <c r="D939" s="17" t="s">
        <v>14</v>
      </c>
      <c r="E939" s="18">
        <v>21386</v>
      </c>
      <c r="F939" s="24">
        <v>36904339.770000003</v>
      </c>
      <c r="G939" s="30">
        <v>2.99</v>
      </c>
      <c r="H939" s="30">
        <v>72.989999999999995</v>
      </c>
      <c r="I939" s="17">
        <v>35.39</v>
      </c>
      <c r="J939" s="17">
        <v>296.75</v>
      </c>
      <c r="K939" s="27">
        <v>75.59</v>
      </c>
      <c r="L939" s="17" t="s">
        <v>17</v>
      </c>
    </row>
    <row r="940" spans="1:12" x14ac:dyDescent="0.25">
      <c r="A940" s="12">
        <v>2024</v>
      </c>
      <c r="B940" s="12" t="s">
        <v>36</v>
      </c>
      <c r="C940" s="12" t="s">
        <v>23</v>
      </c>
      <c r="D940" s="12" t="s">
        <v>24</v>
      </c>
      <c r="E940" s="13">
        <v>27969</v>
      </c>
      <c r="F940" s="23">
        <v>70164647.829999998</v>
      </c>
      <c r="G940" s="29">
        <v>2.62</v>
      </c>
      <c r="H940" s="29">
        <v>46.76</v>
      </c>
      <c r="I940" s="12">
        <v>43.61</v>
      </c>
      <c r="J940" s="12">
        <v>103.25</v>
      </c>
      <c r="K940" s="26">
        <v>63.21</v>
      </c>
      <c r="L940" s="12" t="s">
        <v>19</v>
      </c>
    </row>
    <row r="941" spans="1:12" x14ac:dyDescent="0.25">
      <c r="A941" s="17">
        <v>2024</v>
      </c>
      <c r="B941" s="17" t="s">
        <v>36</v>
      </c>
      <c r="C941" s="17" t="s">
        <v>25</v>
      </c>
      <c r="D941" s="17" t="s">
        <v>24</v>
      </c>
      <c r="E941" s="18">
        <v>37433</v>
      </c>
      <c r="F941" s="24">
        <v>18338586.460000001</v>
      </c>
      <c r="G941" s="30">
        <v>4.04</v>
      </c>
      <c r="H941" s="30">
        <v>87.64</v>
      </c>
      <c r="I941" s="17">
        <v>53.76</v>
      </c>
      <c r="J941" s="17">
        <v>101.77</v>
      </c>
      <c r="K941" s="27">
        <v>50.02</v>
      </c>
      <c r="L941" s="17" t="s">
        <v>19</v>
      </c>
    </row>
    <row r="942" spans="1:12" x14ac:dyDescent="0.25">
      <c r="A942" s="12">
        <v>2024</v>
      </c>
      <c r="B942" s="12" t="s">
        <v>36</v>
      </c>
      <c r="C942" s="12" t="s">
        <v>26</v>
      </c>
      <c r="D942" s="12" t="s">
        <v>24</v>
      </c>
      <c r="E942" s="13">
        <v>39286</v>
      </c>
      <c r="F942" s="23">
        <v>60220617.189999998</v>
      </c>
      <c r="G942" s="29">
        <v>3.28</v>
      </c>
      <c r="H942" s="29">
        <v>52.62</v>
      </c>
      <c r="I942" s="12">
        <v>54.48</v>
      </c>
      <c r="J942" s="12">
        <v>284.67</v>
      </c>
      <c r="K942" s="26">
        <v>72.09</v>
      </c>
      <c r="L942" s="12" t="s">
        <v>27</v>
      </c>
    </row>
    <row r="943" spans="1:12" x14ac:dyDescent="0.25">
      <c r="A943" s="17">
        <v>2024</v>
      </c>
      <c r="B943" s="17" t="s">
        <v>36</v>
      </c>
      <c r="C943" s="17" t="s">
        <v>28</v>
      </c>
      <c r="D943" s="17" t="s">
        <v>24</v>
      </c>
      <c r="E943" s="18">
        <v>53528</v>
      </c>
      <c r="F943" s="24">
        <v>21387152.239999998</v>
      </c>
      <c r="G943" s="30">
        <v>6.42</v>
      </c>
      <c r="H943" s="30">
        <v>103.82</v>
      </c>
      <c r="I943" s="17">
        <v>51.01</v>
      </c>
      <c r="J943" s="17">
        <v>130.55000000000001</v>
      </c>
      <c r="K943" s="27">
        <v>85.26</v>
      </c>
      <c r="L943" s="17" t="s">
        <v>19</v>
      </c>
    </row>
    <row r="944" spans="1:12" x14ac:dyDescent="0.25">
      <c r="A944" s="12">
        <v>2024</v>
      </c>
      <c r="B944" s="12" t="s">
        <v>36</v>
      </c>
      <c r="C944" s="12" t="s">
        <v>29</v>
      </c>
      <c r="D944" s="12" t="s">
        <v>24</v>
      </c>
      <c r="E944" s="13">
        <v>35291</v>
      </c>
      <c r="F944" s="23">
        <v>49226395.399999999</v>
      </c>
      <c r="G944" s="29">
        <v>6.75</v>
      </c>
      <c r="H944" s="29">
        <v>62.89</v>
      </c>
      <c r="I944" s="12">
        <v>24.49</v>
      </c>
      <c r="J944" s="12">
        <v>220.65</v>
      </c>
      <c r="K944" s="26">
        <v>89.72</v>
      </c>
      <c r="L944" s="12" t="s">
        <v>21</v>
      </c>
    </row>
    <row r="945" spans="1:12" x14ac:dyDescent="0.25">
      <c r="A945" s="17">
        <v>2024</v>
      </c>
      <c r="B945" s="17" t="s">
        <v>36</v>
      </c>
      <c r="C945" s="17" t="s">
        <v>30</v>
      </c>
      <c r="D945" s="17" t="s">
        <v>24</v>
      </c>
      <c r="E945" s="18">
        <v>59709</v>
      </c>
      <c r="F945" s="24">
        <v>24247149.039999999</v>
      </c>
      <c r="G945" s="30">
        <v>6.3</v>
      </c>
      <c r="H945" s="30">
        <v>103.78</v>
      </c>
      <c r="I945" s="17">
        <v>12.99</v>
      </c>
      <c r="J945" s="17">
        <v>284.37</v>
      </c>
      <c r="K945" s="27">
        <v>67.069999999999993</v>
      </c>
      <c r="L945" s="17" t="s">
        <v>19</v>
      </c>
    </row>
    <row r="946" spans="1:12" x14ac:dyDescent="0.25">
      <c r="A946" s="12">
        <v>2024</v>
      </c>
      <c r="B946" s="12" t="s">
        <v>36</v>
      </c>
      <c r="C946" s="12" t="s">
        <v>31</v>
      </c>
      <c r="D946" s="12" t="s">
        <v>24</v>
      </c>
      <c r="E946" s="13">
        <v>43568</v>
      </c>
      <c r="F946" s="23">
        <v>7815666.2519999901</v>
      </c>
      <c r="G946" s="29">
        <v>5.04</v>
      </c>
      <c r="H946" s="29">
        <v>74.459999999999994</v>
      </c>
      <c r="I946" s="12">
        <v>45.39</v>
      </c>
      <c r="J946" s="12">
        <v>255.35</v>
      </c>
      <c r="K946" s="26">
        <v>72.28</v>
      </c>
      <c r="L946" s="12" t="s">
        <v>21</v>
      </c>
    </row>
    <row r="947" spans="1:12" x14ac:dyDescent="0.25">
      <c r="A947" s="17">
        <v>2024</v>
      </c>
      <c r="B947" s="17" t="s">
        <v>36</v>
      </c>
      <c r="C947" s="17" t="s">
        <v>32</v>
      </c>
      <c r="D947" s="17" t="s">
        <v>24</v>
      </c>
      <c r="E947" s="18">
        <v>14266</v>
      </c>
      <c r="F947" s="24">
        <v>34815441.960000001</v>
      </c>
      <c r="G947" s="30">
        <v>4.33</v>
      </c>
      <c r="H947" s="30">
        <v>40.78</v>
      </c>
      <c r="I947" s="17">
        <v>17.489999999999998</v>
      </c>
      <c r="J947" s="17">
        <v>190.78</v>
      </c>
      <c r="K947" s="27">
        <v>88.08</v>
      </c>
      <c r="L947" s="17" t="s">
        <v>17</v>
      </c>
    </row>
    <row r="948" spans="1:12" x14ac:dyDescent="0.25">
      <c r="A948" s="12">
        <v>2024</v>
      </c>
      <c r="B948" s="12" t="s">
        <v>36</v>
      </c>
      <c r="C948" s="12" t="s">
        <v>33</v>
      </c>
      <c r="D948" s="12" t="s">
        <v>24</v>
      </c>
      <c r="E948" s="13">
        <v>15763</v>
      </c>
      <c r="F948" s="23">
        <v>7376208.852</v>
      </c>
      <c r="G948" s="29">
        <v>5.89</v>
      </c>
      <c r="H948" s="29">
        <v>74.459999999999994</v>
      </c>
      <c r="I948" s="12">
        <v>50.36</v>
      </c>
      <c r="J948" s="12">
        <v>173.23</v>
      </c>
      <c r="K948" s="26">
        <v>52.39</v>
      </c>
      <c r="L948" s="12" t="s">
        <v>21</v>
      </c>
    </row>
    <row r="949" spans="1:12" x14ac:dyDescent="0.25">
      <c r="A949" s="17">
        <v>2024</v>
      </c>
      <c r="B949" s="17" t="s">
        <v>36</v>
      </c>
      <c r="C949" s="17" t="s">
        <v>34</v>
      </c>
      <c r="D949" s="17" t="s">
        <v>24</v>
      </c>
      <c r="E949" s="18">
        <v>37683</v>
      </c>
      <c r="F949" s="24">
        <v>25975311.579999998</v>
      </c>
      <c r="G949" s="30">
        <v>6.15</v>
      </c>
      <c r="H949" s="30">
        <v>87.83</v>
      </c>
      <c r="I949" s="17">
        <v>29.56</v>
      </c>
      <c r="J949" s="17">
        <v>270.57</v>
      </c>
      <c r="K949" s="27">
        <v>63.33</v>
      </c>
      <c r="L949" s="17" t="s">
        <v>27</v>
      </c>
    </row>
    <row r="950" spans="1:12" x14ac:dyDescent="0.25">
      <c r="A950" s="12">
        <v>2024</v>
      </c>
      <c r="B950" s="12" t="s">
        <v>37</v>
      </c>
      <c r="C950" s="12" t="s">
        <v>13</v>
      </c>
      <c r="D950" s="12" t="s">
        <v>14</v>
      </c>
      <c r="E950" s="13">
        <v>9805</v>
      </c>
      <c r="F950" s="23">
        <v>4494602.4929999998</v>
      </c>
      <c r="G950" s="29">
        <v>0.27</v>
      </c>
      <c r="H950" s="29">
        <v>59.49</v>
      </c>
      <c r="I950" s="12">
        <v>16.98</v>
      </c>
      <c r="J950" s="12">
        <v>203.22</v>
      </c>
      <c r="K950" s="26">
        <v>57.32</v>
      </c>
      <c r="L950" s="12" t="s">
        <v>19</v>
      </c>
    </row>
    <row r="951" spans="1:12" x14ac:dyDescent="0.25">
      <c r="A951" s="17">
        <v>2024</v>
      </c>
      <c r="B951" s="17" t="s">
        <v>37</v>
      </c>
      <c r="C951" s="17" t="s">
        <v>16</v>
      </c>
      <c r="D951" s="17" t="s">
        <v>14</v>
      </c>
      <c r="E951" s="18">
        <v>39017</v>
      </c>
      <c r="F951" s="24">
        <v>15031174.35</v>
      </c>
      <c r="G951" s="30">
        <v>1.95</v>
      </c>
      <c r="H951" s="30">
        <v>50.4</v>
      </c>
      <c r="I951" s="17">
        <v>25.44</v>
      </c>
      <c r="J951" s="17">
        <v>268.60000000000002</v>
      </c>
      <c r="K951" s="27">
        <v>38.07</v>
      </c>
      <c r="L951" s="17" t="s">
        <v>15</v>
      </c>
    </row>
    <row r="952" spans="1:12" x14ac:dyDescent="0.25">
      <c r="A952" s="12">
        <v>2024</v>
      </c>
      <c r="B952" s="12" t="s">
        <v>37</v>
      </c>
      <c r="C952" s="12" t="s">
        <v>18</v>
      </c>
      <c r="D952" s="12" t="s">
        <v>14</v>
      </c>
      <c r="E952" s="13">
        <v>7534</v>
      </c>
      <c r="F952" s="23">
        <v>29771391.219999999</v>
      </c>
      <c r="G952" s="29">
        <v>3.55</v>
      </c>
      <c r="H952" s="29">
        <v>47.5</v>
      </c>
      <c r="I952" s="12">
        <v>12.56</v>
      </c>
      <c r="J952" s="12">
        <v>51.73</v>
      </c>
      <c r="K952" s="26">
        <v>74.44</v>
      </c>
      <c r="L952" s="12" t="s">
        <v>27</v>
      </c>
    </row>
    <row r="953" spans="1:12" x14ac:dyDescent="0.25">
      <c r="A953" s="17">
        <v>2024</v>
      </c>
      <c r="B953" s="17" t="s">
        <v>37</v>
      </c>
      <c r="C953" s="17" t="s">
        <v>20</v>
      </c>
      <c r="D953" s="17" t="s">
        <v>14</v>
      </c>
      <c r="E953" s="18">
        <v>42266</v>
      </c>
      <c r="F953" s="24">
        <v>23557754.829999998</v>
      </c>
      <c r="G953" s="30">
        <v>0.34</v>
      </c>
      <c r="H953" s="30">
        <v>86.28</v>
      </c>
      <c r="I953" s="17">
        <v>26.49</v>
      </c>
      <c r="J953" s="17">
        <v>294.81</v>
      </c>
      <c r="K953" s="27">
        <v>51.79</v>
      </c>
      <c r="L953" s="17" t="s">
        <v>17</v>
      </c>
    </row>
    <row r="954" spans="1:12" x14ac:dyDescent="0.25">
      <c r="A954" s="12">
        <v>2024</v>
      </c>
      <c r="B954" s="12" t="s">
        <v>37</v>
      </c>
      <c r="C954" s="12" t="s">
        <v>22</v>
      </c>
      <c r="D954" s="12" t="s">
        <v>14</v>
      </c>
      <c r="E954" s="13">
        <v>28852</v>
      </c>
      <c r="F954" s="23">
        <v>14365866.470000001</v>
      </c>
      <c r="G954" s="29">
        <v>0.22999999999999901</v>
      </c>
      <c r="H954" s="29">
        <v>46.1</v>
      </c>
      <c r="I954" s="12">
        <v>3.47</v>
      </c>
      <c r="J954" s="12">
        <v>194.32</v>
      </c>
      <c r="K954" s="26">
        <v>86.51</v>
      </c>
      <c r="L954" s="12" t="s">
        <v>19</v>
      </c>
    </row>
    <row r="955" spans="1:12" x14ac:dyDescent="0.25">
      <c r="A955" s="17">
        <v>2024</v>
      </c>
      <c r="B955" s="17" t="s">
        <v>37</v>
      </c>
      <c r="C955" s="17" t="s">
        <v>23</v>
      </c>
      <c r="D955" s="17" t="s">
        <v>24</v>
      </c>
      <c r="E955" s="18">
        <v>25724</v>
      </c>
      <c r="F955" s="24">
        <v>57565236.579999998</v>
      </c>
      <c r="G955" s="30">
        <v>5.68</v>
      </c>
      <c r="H955" s="30">
        <v>69.979999999999905</v>
      </c>
      <c r="I955" s="17">
        <v>34.17</v>
      </c>
      <c r="J955" s="17">
        <v>231.5</v>
      </c>
      <c r="K955" s="27">
        <v>84.08</v>
      </c>
      <c r="L955" s="17" t="s">
        <v>17</v>
      </c>
    </row>
    <row r="956" spans="1:12" x14ac:dyDescent="0.25">
      <c r="A956" s="12">
        <v>2024</v>
      </c>
      <c r="B956" s="12" t="s">
        <v>37</v>
      </c>
      <c r="C956" s="12" t="s">
        <v>25</v>
      </c>
      <c r="D956" s="12" t="s">
        <v>24</v>
      </c>
      <c r="E956" s="13">
        <v>10554</v>
      </c>
      <c r="F956" s="23">
        <v>21897425.739999998</v>
      </c>
      <c r="G956" s="29">
        <v>5.35</v>
      </c>
      <c r="H956" s="29">
        <v>41.87</v>
      </c>
      <c r="I956" s="12">
        <v>19.649999999999999</v>
      </c>
      <c r="J956" s="12">
        <v>187.87</v>
      </c>
      <c r="K956" s="26">
        <v>87.11</v>
      </c>
      <c r="L956" s="12" t="s">
        <v>15</v>
      </c>
    </row>
    <row r="957" spans="1:12" x14ac:dyDescent="0.25">
      <c r="A957" s="17">
        <v>2024</v>
      </c>
      <c r="B957" s="17" t="s">
        <v>37</v>
      </c>
      <c r="C957" s="17" t="s">
        <v>26</v>
      </c>
      <c r="D957" s="17" t="s">
        <v>24</v>
      </c>
      <c r="E957" s="18">
        <v>63966</v>
      </c>
      <c r="F957" s="24">
        <v>35148376</v>
      </c>
      <c r="G957" s="30">
        <v>3.86</v>
      </c>
      <c r="H957" s="30">
        <v>68.180000000000007</v>
      </c>
      <c r="I957" s="17">
        <v>37.299999999999997</v>
      </c>
      <c r="J957" s="17">
        <v>171.35</v>
      </c>
      <c r="K957" s="27">
        <v>81.11</v>
      </c>
      <c r="L957" s="17" t="s">
        <v>21</v>
      </c>
    </row>
    <row r="958" spans="1:12" x14ac:dyDescent="0.25">
      <c r="A958" s="12">
        <v>2024</v>
      </c>
      <c r="B958" s="12" t="s">
        <v>37</v>
      </c>
      <c r="C958" s="12" t="s">
        <v>28</v>
      </c>
      <c r="D958" s="12" t="s">
        <v>24</v>
      </c>
      <c r="E958" s="13">
        <v>50336</v>
      </c>
      <c r="F958" s="23">
        <v>24239867.16</v>
      </c>
      <c r="G958" s="29">
        <v>4.0599999999999996</v>
      </c>
      <c r="H958" s="29">
        <v>44.48</v>
      </c>
      <c r="I958" s="12">
        <v>16.75</v>
      </c>
      <c r="J958" s="12">
        <v>205.63</v>
      </c>
      <c r="K958" s="26">
        <v>73.459999999999994</v>
      </c>
      <c r="L958" s="12" t="s">
        <v>19</v>
      </c>
    </row>
    <row r="959" spans="1:12" x14ac:dyDescent="0.25">
      <c r="A959" s="17">
        <v>2024</v>
      </c>
      <c r="B959" s="17" t="s">
        <v>37</v>
      </c>
      <c r="C959" s="17" t="s">
        <v>29</v>
      </c>
      <c r="D959" s="17" t="s">
        <v>24</v>
      </c>
      <c r="E959" s="18">
        <v>35834</v>
      </c>
      <c r="F959" s="24">
        <v>8672653.0079999994</v>
      </c>
      <c r="G959" s="30">
        <v>3.47</v>
      </c>
      <c r="H959" s="30">
        <v>79.11</v>
      </c>
      <c r="I959" s="17">
        <v>20.48</v>
      </c>
      <c r="J959" s="17">
        <v>97.86</v>
      </c>
      <c r="K959" s="27">
        <v>49</v>
      </c>
      <c r="L959" s="17" t="s">
        <v>19</v>
      </c>
    </row>
    <row r="960" spans="1:12" x14ac:dyDescent="0.25">
      <c r="A960" s="12">
        <v>2024</v>
      </c>
      <c r="B960" s="12" t="s">
        <v>37</v>
      </c>
      <c r="C960" s="12" t="s">
        <v>30</v>
      </c>
      <c r="D960" s="12" t="s">
        <v>24</v>
      </c>
      <c r="E960" s="13">
        <v>28368</v>
      </c>
      <c r="F960" s="23">
        <v>17639255.890000001</v>
      </c>
      <c r="G960" s="29">
        <v>5.79</v>
      </c>
      <c r="H960" s="29">
        <v>47.78</v>
      </c>
      <c r="I960" s="12">
        <v>35.700000000000003</v>
      </c>
      <c r="J960" s="12">
        <v>99.55</v>
      </c>
      <c r="K960" s="26">
        <v>92.85</v>
      </c>
      <c r="L960" s="12" t="s">
        <v>27</v>
      </c>
    </row>
    <row r="961" spans="1:12" x14ac:dyDescent="0.25">
      <c r="A961" s="17">
        <v>2024</v>
      </c>
      <c r="B961" s="17" t="s">
        <v>37</v>
      </c>
      <c r="C961" s="17" t="s">
        <v>31</v>
      </c>
      <c r="D961" s="17" t="s">
        <v>24</v>
      </c>
      <c r="E961" s="18">
        <v>31313</v>
      </c>
      <c r="F961" s="24">
        <v>33616387.43</v>
      </c>
      <c r="G961" s="30">
        <v>6.7</v>
      </c>
      <c r="H961" s="30">
        <v>59.12</v>
      </c>
      <c r="I961" s="17">
        <v>51.35</v>
      </c>
      <c r="J961" s="17">
        <v>229.94</v>
      </c>
      <c r="K961" s="27">
        <v>66.099999999999994</v>
      </c>
      <c r="L961" s="17" t="s">
        <v>21</v>
      </c>
    </row>
    <row r="962" spans="1:12" x14ac:dyDescent="0.25">
      <c r="A962" s="12">
        <v>2024</v>
      </c>
      <c r="B962" s="12" t="s">
        <v>37</v>
      </c>
      <c r="C962" s="12" t="s">
        <v>32</v>
      </c>
      <c r="D962" s="12" t="s">
        <v>24</v>
      </c>
      <c r="E962" s="13">
        <v>10175</v>
      </c>
      <c r="F962" s="23">
        <v>31584423.949999999</v>
      </c>
      <c r="G962" s="29">
        <v>6.39</v>
      </c>
      <c r="H962" s="29">
        <v>86.4</v>
      </c>
      <c r="I962" s="12">
        <v>6.87</v>
      </c>
      <c r="J962" s="12">
        <v>170.92</v>
      </c>
      <c r="K962" s="26">
        <v>87.54</v>
      </c>
      <c r="L962" s="12" t="s">
        <v>15</v>
      </c>
    </row>
    <row r="963" spans="1:12" x14ac:dyDescent="0.25">
      <c r="A963" s="17">
        <v>2024</v>
      </c>
      <c r="B963" s="17" t="s">
        <v>37</v>
      </c>
      <c r="C963" s="17" t="s">
        <v>33</v>
      </c>
      <c r="D963" s="17" t="s">
        <v>24</v>
      </c>
      <c r="E963" s="18">
        <v>27459</v>
      </c>
      <c r="F963" s="24">
        <v>48297091.175999902</v>
      </c>
      <c r="G963" s="30">
        <v>2.65</v>
      </c>
      <c r="H963" s="30">
        <v>73.66</v>
      </c>
      <c r="I963" s="17">
        <v>17.95</v>
      </c>
      <c r="J963" s="17">
        <v>186.37</v>
      </c>
      <c r="K963" s="27">
        <v>92.94</v>
      </c>
      <c r="L963" s="17" t="s">
        <v>21</v>
      </c>
    </row>
    <row r="964" spans="1:12" x14ac:dyDescent="0.25">
      <c r="A964" s="12">
        <v>2024</v>
      </c>
      <c r="B964" s="12" t="s">
        <v>37</v>
      </c>
      <c r="C964" s="12" t="s">
        <v>34</v>
      </c>
      <c r="D964" s="12" t="s">
        <v>24</v>
      </c>
      <c r="E964" s="13">
        <v>23576</v>
      </c>
      <c r="F964" s="23">
        <v>7378715.04</v>
      </c>
      <c r="G964" s="29">
        <v>4.9400000000000004</v>
      </c>
      <c r="H964" s="29">
        <v>92.65</v>
      </c>
      <c r="I964" s="12">
        <v>27.65</v>
      </c>
      <c r="J964" s="12">
        <v>261.8</v>
      </c>
      <c r="K964" s="26">
        <v>75.180000000000007</v>
      </c>
      <c r="L964" s="12" t="s">
        <v>15</v>
      </c>
    </row>
    <row r="965" spans="1:12" x14ac:dyDescent="0.25">
      <c r="A965" s="17">
        <v>2024</v>
      </c>
      <c r="B965" s="17" t="s">
        <v>12</v>
      </c>
      <c r="C965" s="17" t="s">
        <v>31</v>
      </c>
      <c r="D965" s="17" t="s">
        <v>24</v>
      </c>
      <c r="E965" s="18">
        <v>6628</v>
      </c>
      <c r="F965" s="24">
        <v>36995468.590000004</v>
      </c>
      <c r="G965" s="30">
        <v>4.8099999999999996</v>
      </c>
      <c r="H965" s="30">
        <v>93.86</v>
      </c>
      <c r="I965" s="17">
        <v>26.43</v>
      </c>
      <c r="J965" s="17">
        <v>157.51</v>
      </c>
      <c r="K965" s="27">
        <v>45.53</v>
      </c>
      <c r="L965" s="17" t="s">
        <v>27</v>
      </c>
    </row>
    <row r="966" spans="1:12" x14ac:dyDescent="0.25">
      <c r="A966" s="12">
        <v>2024</v>
      </c>
      <c r="B966" s="12" t="s">
        <v>35</v>
      </c>
      <c r="C966" s="12" t="s">
        <v>26</v>
      </c>
      <c r="D966" s="12" t="s">
        <v>24</v>
      </c>
      <c r="E966" s="13">
        <v>14587</v>
      </c>
      <c r="F966" s="23">
        <v>28041204.800000001</v>
      </c>
      <c r="G966" s="29">
        <v>2.85</v>
      </c>
      <c r="H966" s="29">
        <v>53.66</v>
      </c>
      <c r="I966" s="12">
        <v>51.8</v>
      </c>
      <c r="J966" s="12">
        <v>126.75</v>
      </c>
      <c r="K966" s="26">
        <v>94.43</v>
      </c>
      <c r="L966" s="12" t="s">
        <v>15</v>
      </c>
    </row>
    <row r="967" spans="1:12" x14ac:dyDescent="0.25">
      <c r="A967" s="17">
        <v>2024</v>
      </c>
      <c r="B967" s="17" t="s">
        <v>12</v>
      </c>
      <c r="C967" s="17" t="s">
        <v>28</v>
      </c>
      <c r="D967" s="17" t="s">
        <v>24</v>
      </c>
      <c r="E967" s="18">
        <v>62968</v>
      </c>
      <c r="F967" s="24">
        <v>36037742.340000004</v>
      </c>
      <c r="G967" s="30">
        <v>3.27</v>
      </c>
      <c r="H967" s="30">
        <v>91.81</v>
      </c>
      <c r="I967" s="17">
        <v>35.090000000000003</v>
      </c>
      <c r="J967" s="17">
        <v>236.61</v>
      </c>
      <c r="K967" s="27">
        <v>93.38</v>
      </c>
      <c r="L967" s="17" t="s">
        <v>19</v>
      </c>
    </row>
    <row r="968" spans="1:12" x14ac:dyDescent="0.25">
      <c r="A968" s="12">
        <v>2024</v>
      </c>
      <c r="B968" s="12" t="s">
        <v>35</v>
      </c>
      <c r="C968" s="12" t="s">
        <v>34</v>
      </c>
      <c r="D968" s="12" t="s">
        <v>24</v>
      </c>
      <c r="E968" s="13">
        <v>44327</v>
      </c>
      <c r="F968" s="23">
        <v>51331262.543999903</v>
      </c>
      <c r="G968" s="29">
        <v>4.95</v>
      </c>
      <c r="H968" s="29">
        <v>78.31</v>
      </c>
      <c r="I968" s="12">
        <v>41.66</v>
      </c>
      <c r="J968" s="12">
        <v>198.84</v>
      </c>
      <c r="K968" s="26">
        <v>46.44</v>
      </c>
      <c r="L968" s="12" t="s">
        <v>19</v>
      </c>
    </row>
    <row r="969" spans="1:12" x14ac:dyDescent="0.25">
      <c r="A969" s="17">
        <v>2024</v>
      </c>
      <c r="B969" s="17" t="s">
        <v>36</v>
      </c>
      <c r="C969" s="17" t="s">
        <v>30</v>
      </c>
      <c r="D969" s="17" t="s">
        <v>24</v>
      </c>
      <c r="E969" s="18">
        <v>59709</v>
      </c>
      <c r="F969" s="24">
        <v>24247149.039999999</v>
      </c>
      <c r="G969" s="30">
        <v>6.3</v>
      </c>
      <c r="H969" s="30">
        <v>103.78</v>
      </c>
      <c r="I969" s="17">
        <v>12.99</v>
      </c>
      <c r="J969" s="17">
        <v>284.37</v>
      </c>
      <c r="K969" s="27">
        <v>67.069999999999993</v>
      </c>
      <c r="L969" s="17" t="s">
        <v>19</v>
      </c>
    </row>
    <row r="970" spans="1:12" x14ac:dyDescent="0.25">
      <c r="A970" s="12">
        <v>2024</v>
      </c>
      <c r="B970" s="12" t="s">
        <v>37</v>
      </c>
      <c r="C970" s="12" t="s">
        <v>18</v>
      </c>
      <c r="D970" s="12" t="s">
        <v>14</v>
      </c>
      <c r="E970" s="13">
        <v>7534</v>
      </c>
      <c r="F970" s="23">
        <v>29771391.219999999</v>
      </c>
      <c r="G970" s="29">
        <v>3.55</v>
      </c>
      <c r="H970" s="29">
        <v>47.5</v>
      </c>
      <c r="I970" s="12">
        <v>12.56</v>
      </c>
      <c r="J970" s="12">
        <v>51.73</v>
      </c>
      <c r="K970" s="26">
        <v>74.44</v>
      </c>
      <c r="L970" s="12" t="s">
        <v>27</v>
      </c>
    </row>
    <row r="971" spans="1:12" x14ac:dyDescent="0.25">
      <c r="A971" s="17">
        <v>2024</v>
      </c>
      <c r="B971" s="17" t="s">
        <v>37</v>
      </c>
      <c r="C971" s="17" t="s">
        <v>33</v>
      </c>
      <c r="D971" s="17" t="s">
        <v>24</v>
      </c>
      <c r="E971" s="18">
        <v>27459</v>
      </c>
      <c r="F971" s="24">
        <v>48297091.175999902</v>
      </c>
      <c r="G971" s="30">
        <v>2.65</v>
      </c>
      <c r="H971" s="30">
        <v>73.66</v>
      </c>
      <c r="I971" s="17">
        <v>17.95</v>
      </c>
      <c r="J971" s="17">
        <v>186.37</v>
      </c>
      <c r="K971" s="27">
        <v>92.94</v>
      </c>
      <c r="L971" s="17" t="s">
        <v>21</v>
      </c>
    </row>
    <row r="972" spans="1:12" x14ac:dyDescent="0.25">
      <c r="A972" s="12">
        <v>2024</v>
      </c>
      <c r="B972" s="12" t="s">
        <v>37</v>
      </c>
      <c r="C972" s="12" t="s">
        <v>28</v>
      </c>
      <c r="D972" s="12" t="s">
        <v>24</v>
      </c>
      <c r="E972" s="13">
        <v>50336</v>
      </c>
      <c r="F972" s="23">
        <v>24239867.16</v>
      </c>
      <c r="G972" s="29">
        <v>4.0599999999999996</v>
      </c>
      <c r="H972" s="29">
        <v>44.48</v>
      </c>
      <c r="I972" s="12">
        <v>16.75</v>
      </c>
      <c r="J972" s="12">
        <v>205.63</v>
      </c>
      <c r="K972" s="26">
        <v>73.459999999999994</v>
      </c>
      <c r="L972" s="12" t="s">
        <v>19</v>
      </c>
    </row>
    <row r="973" spans="1:12" x14ac:dyDescent="0.25">
      <c r="A973" s="17">
        <v>2024</v>
      </c>
      <c r="B973" s="17" t="s">
        <v>35</v>
      </c>
      <c r="C973" s="17" t="s">
        <v>25</v>
      </c>
      <c r="D973" s="17" t="s">
        <v>24</v>
      </c>
      <c r="E973" s="18">
        <v>33515</v>
      </c>
      <c r="F973" s="24">
        <v>35787763.82</v>
      </c>
      <c r="G973" s="30">
        <v>4.3</v>
      </c>
      <c r="H973" s="30">
        <v>82.09</v>
      </c>
      <c r="I973" s="17">
        <v>44.83</v>
      </c>
      <c r="J973" s="17">
        <v>256.14</v>
      </c>
      <c r="K973" s="27">
        <v>51.86</v>
      </c>
      <c r="L973" s="17" t="s">
        <v>17</v>
      </c>
    </row>
    <row r="974" spans="1:12" x14ac:dyDescent="0.25">
      <c r="A974" s="12">
        <v>2024</v>
      </c>
      <c r="B974" s="12" t="s">
        <v>37</v>
      </c>
      <c r="C974" s="12" t="s">
        <v>23</v>
      </c>
      <c r="D974" s="12" t="s">
        <v>24</v>
      </c>
      <c r="E974" s="13">
        <v>25724</v>
      </c>
      <c r="F974" s="23">
        <v>57565236.579999998</v>
      </c>
      <c r="G974" s="29">
        <v>5.68</v>
      </c>
      <c r="H974" s="29">
        <v>69.979999999999905</v>
      </c>
      <c r="I974" s="12">
        <v>34.17</v>
      </c>
      <c r="J974" s="12">
        <v>231.5</v>
      </c>
      <c r="K974" s="26">
        <v>84.08</v>
      </c>
      <c r="L974" s="12" t="s">
        <v>17</v>
      </c>
    </row>
    <row r="975" spans="1:12" x14ac:dyDescent="0.25">
      <c r="A975" s="17">
        <v>2024</v>
      </c>
      <c r="B975" s="17" t="s">
        <v>35</v>
      </c>
      <c r="C975" s="17" t="s">
        <v>26</v>
      </c>
      <c r="D975" s="17" t="s">
        <v>24</v>
      </c>
      <c r="E975" s="18">
        <v>14587</v>
      </c>
      <c r="F975" s="24">
        <v>28041204.800000001</v>
      </c>
      <c r="G975" s="30">
        <v>2.85</v>
      </c>
      <c r="H975" s="30">
        <v>53.66</v>
      </c>
      <c r="I975" s="17">
        <v>51.8</v>
      </c>
      <c r="J975" s="17">
        <v>126.75</v>
      </c>
      <c r="K975" s="27">
        <v>94.43</v>
      </c>
      <c r="L975" s="17" t="s">
        <v>15</v>
      </c>
    </row>
    <row r="976" spans="1:12" x14ac:dyDescent="0.25">
      <c r="A976" s="12">
        <v>2024</v>
      </c>
      <c r="B976" s="12" t="s">
        <v>37</v>
      </c>
      <c r="C976" s="12" t="s">
        <v>29</v>
      </c>
      <c r="D976" s="12" t="s">
        <v>24</v>
      </c>
      <c r="E976" s="13">
        <v>35834</v>
      </c>
      <c r="F976" s="23">
        <v>8672653.0079999994</v>
      </c>
      <c r="G976" s="29">
        <v>3.47</v>
      </c>
      <c r="H976" s="29">
        <v>79.11</v>
      </c>
      <c r="I976" s="12">
        <v>20.48</v>
      </c>
      <c r="J976" s="12">
        <v>97.86</v>
      </c>
      <c r="K976" s="26">
        <v>49</v>
      </c>
      <c r="L976" s="12" t="s">
        <v>19</v>
      </c>
    </row>
    <row r="977" spans="1:12" x14ac:dyDescent="0.25">
      <c r="A977" s="17">
        <v>2024</v>
      </c>
      <c r="B977" s="17" t="s">
        <v>12</v>
      </c>
      <c r="C977" s="17" t="s">
        <v>30</v>
      </c>
      <c r="D977" s="17" t="s">
        <v>24</v>
      </c>
      <c r="E977" s="18">
        <v>43911</v>
      </c>
      <c r="F977" s="24">
        <v>45501962.543999903</v>
      </c>
      <c r="G977" s="30">
        <v>4.21</v>
      </c>
      <c r="H977" s="30">
        <v>45.54</v>
      </c>
      <c r="I977" s="17">
        <v>47.18</v>
      </c>
      <c r="J977" s="17">
        <v>293.87</v>
      </c>
      <c r="K977" s="27">
        <v>46.55</v>
      </c>
      <c r="L977" s="17" t="s">
        <v>27</v>
      </c>
    </row>
    <row r="978" spans="1:12" x14ac:dyDescent="0.25">
      <c r="A978" s="12">
        <v>2024</v>
      </c>
      <c r="B978" s="12" t="s">
        <v>36</v>
      </c>
      <c r="C978" s="12" t="s">
        <v>34</v>
      </c>
      <c r="D978" s="12" t="s">
        <v>24</v>
      </c>
      <c r="E978" s="13">
        <v>37683</v>
      </c>
      <c r="F978" s="23">
        <v>25975311.579999998</v>
      </c>
      <c r="G978" s="29">
        <v>6.15</v>
      </c>
      <c r="H978" s="29">
        <v>87.83</v>
      </c>
      <c r="I978" s="12">
        <v>29.56</v>
      </c>
      <c r="J978" s="12">
        <v>270.57</v>
      </c>
      <c r="K978" s="26">
        <v>63.33</v>
      </c>
      <c r="L978" s="12" t="s">
        <v>27</v>
      </c>
    </row>
    <row r="979" spans="1:12" x14ac:dyDescent="0.25">
      <c r="A979" s="17">
        <v>2024</v>
      </c>
      <c r="B979" s="17" t="s">
        <v>35</v>
      </c>
      <c r="C979" s="17" t="s">
        <v>25</v>
      </c>
      <c r="D979" s="17" t="s">
        <v>24</v>
      </c>
      <c r="E979" s="18">
        <v>33515</v>
      </c>
      <c r="F979" s="24">
        <v>35787763.82</v>
      </c>
      <c r="G979" s="30">
        <v>4.3</v>
      </c>
      <c r="H979" s="30">
        <v>82.09</v>
      </c>
      <c r="I979" s="17">
        <v>44.83</v>
      </c>
      <c r="J979" s="17">
        <v>256.14</v>
      </c>
      <c r="K979" s="27">
        <v>51.86</v>
      </c>
      <c r="L979" s="17" t="s">
        <v>17</v>
      </c>
    </row>
    <row r="980" spans="1:12" x14ac:dyDescent="0.25">
      <c r="A980" s="12">
        <v>2024</v>
      </c>
      <c r="B980" s="12" t="s">
        <v>37</v>
      </c>
      <c r="C980" s="12" t="s">
        <v>30</v>
      </c>
      <c r="D980" s="12" t="s">
        <v>24</v>
      </c>
      <c r="E980" s="13">
        <v>28368</v>
      </c>
      <c r="F980" s="23">
        <v>17639255.890000001</v>
      </c>
      <c r="G980" s="29">
        <v>5.79</v>
      </c>
      <c r="H980" s="29">
        <v>47.78</v>
      </c>
      <c r="I980" s="12">
        <v>35.700000000000003</v>
      </c>
      <c r="J980" s="12">
        <v>99.55</v>
      </c>
      <c r="K980" s="26">
        <v>92.85</v>
      </c>
      <c r="L980" s="12" t="s">
        <v>27</v>
      </c>
    </row>
    <row r="981" spans="1:12" x14ac:dyDescent="0.25">
      <c r="A981" s="17">
        <v>2024</v>
      </c>
      <c r="B981" s="17" t="s">
        <v>36</v>
      </c>
      <c r="C981" s="17" t="s">
        <v>16</v>
      </c>
      <c r="D981" s="17" t="s">
        <v>14</v>
      </c>
      <c r="E981" s="18">
        <v>40214</v>
      </c>
      <c r="F981" s="24">
        <v>41136987.82</v>
      </c>
      <c r="G981" s="30">
        <v>0.13999999999999899</v>
      </c>
      <c r="H981" s="30">
        <v>87.83</v>
      </c>
      <c r="I981" s="17">
        <v>40.29</v>
      </c>
      <c r="J981" s="17">
        <v>259.95</v>
      </c>
      <c r="K981" s="27">
        <v>42.51</v>
      </c>
      <c r="L981" s="17" t="s">
        <v>15</v>
      </c>
    </row>
    <row r="982" spans="1:12" x14ac:dyDescent="0.25">
      <c r="A982" s="12">
        <v>2024</v>
      </c>
      <c r="B982" s="12" t="s">
        <v>36</v>
      </c>
      <c r="C982" s="12" t="s">
        <v>13</v>
      </c>
      <c r="D982" s="12" t="s">
        <v>14</v>
      </c>
      <c r="E982" s="13">
        <v>32671</v>
      </c>
      <c r="F982" s="23">
        <v>47591496.990000002</v>
      </c>
      <c r="G982" s="29">
        <v>2.77</v>
      </c>
      <c r="H982" s="29">
        <v>27.94</v>
      </c>
      <c r="I982" s="12">
        <v>32.880000000000003</v>
      </c>
      <c r="J982" s="12">
        <v>71.209999999999994</v>
      </c>
      <c r="K982" s="26">
        <v>82.95</v>
      </c>
      <c r="L982" s="12" t="s">
        <v>15</v>
      </c>
    </row>
    <row r="983" spans="1:12" x14ac:dyDescent="0.25">
      <c r="A983" s="17">
        <v>2024</v>
      </c>
      <c r="B983" s="17" t="s">
        <v>36</v>
      </c>
      <c r="C983" s="17" t="s">
        <v>29</v>
      </c>
      <c r="D983" s="17" t="s">
        <v>24</v>
      </c>
      <c r="E983" s="18">
        <v>35291</v>
      </c>
      <c r="F983" s="24">
        <v>49226395.399999999</v>
      </c>
      <c r="G983" s="30">
        <v>6.75</v>
      </c>
      <c r="H983" s="30">
        <v>62.89</v>
      </c>
      <c r="I983" s="17">
        <v>24.49</v>
      </c>
      <c r="J983" s="17">
        <v>220.65</v>
      </c>
      <c r="K983" s="27">
        <v>89.72</v>
      </c>
      <c r="L983" s="17" t="s">
        <v>21</v>
      </c>
    </row>
    <row r="984" spans="1:12" x14ac:dyDescent="0.25">
      <c r="A984" s="12">
        <v>2024</v>
      </c>
      <c r="B984" s="12" t="s">
        <v>12</v>
      </c>
      <c r="C984" s="12" t="s">
        <v>31</v>
      </c>
      <c r="D984" s="12" t="s">
        <v>24</v>
      </c>
      <c r="E984" s="13">
        <v>6628</v>
      </c>
      <c r="F984" s="23">
        <v>36995468.590000004</v>
      </c>
      <c r="G984" s="29">
        <v>4.8099999999999996</v>
      </c>
      <c r="H984" s="29">
        <v>93.86</v>
      </c>
      <c r="I984" s="12">
        <v>26.43</v>
      </c>
      <c r="J984" s="12">
        <v>157.51</v>
      </c>
      <c r="K984" s="26">
        <v>45.53</v>
      </c>
      <c r="L984" s="12" t="s">
        <v>27</v>
      </c>
    </row>
    <row r="985" spans="1:12" x14ac:dyDescent="0.25">
      <c r="A985" s="17">
        <v>2024</v>
      </c>
      <c r="B985" s="17" t="s">
        <v>35</v>
      </c>
      <c r="C985" s="17" t="s">
        <v>31</v>
      </c>
      <c r="D985" s="17" t="s">
        <v>24</v>
      </c>
      <c r="E985" s="18">
        <v>33169</v>
      </c>
      <c r="F985" s="24">
        <v>35954900.030000001</v>
      </c>
      <c r="G985" s="30">
        <v>5.42</v>
      </c>
      <c r="H985" s="30">
        <v>53.54</v>
      </c>
      <c r="I985" s="17">
        <v>26.02</v>
      </c>
      <c r="J985" s="17">
        <v>294.86</v>
      </c>
      <c r="K985" s="27">
        <v>54.66</v>
      </c>
      <c r="L985" s="17" t="s">
        <v>27</v>
      </c>
    </row>
    <row r="986" spans="1:12" x14ac:dyDescent="0.25">
      <c r="A986" s="12">
        <v>2024</v>
      </c>
      <c r="B986" s="12" t="s">
        <v>12</v>
      </c>
      <c r="C986" s="12" t="s">
        <v>29</v>
      </c>
      <c r="D986" s="12" t="s">
        <v>24</v>
      </c>
      <c r="E986" s="13">
        <v>57073</v>
      </c>
      <c r="F986" s="23">
        <v>27851665.91</v>
      </c>
      <c r="G986" s="29">
        <v>2.61</v>
      </c>
      <c r="H986" s="29">
        <v>66.33</v>
      </c>
      <c r="I986" s="12">
        <v>8.11</v>
      </c>
      <c r="J986" s="12">
        <v>196.33</v>
      </c>
      <c r="K986" s="26">
        <v>89.62</v>
      </c>
      <c r="L986" s="12" t="s">
        <v>17</v>
      </c>
    </row>
    <row r="987" spans="1:12" x14ac:dyDescent="0.25">
      <c r="A987" s="17">
        <v>2024</v>
      </c>
      <c r="B987" s="17" t="s">
        <v>35</v>
      </c>
      <c r="C987" s="17" t="s">
        <v>32</v>
      </c>
      <c r="D987" s="17" t="s">
        <v>24</v>
      </c>
      <c r="E987" s="18">
        <v>7463</v>
      </c>
      <c r="F987" s="24">
        <v>54322194.789999999</v>
      </c>
      <c r="G987" s="30">
        <v>3.42</v>
      </c>
      <c r="H987" s="30">
        <v>84.33</v>
      </c>
      <c r="I987" s="17">
        <v>29.05</v>
      </c>
      <c r="J987" s="17">
        <v>82.85</v>
      </c>
      <c r="K987" s="27">
        <v>88.18</v>
      </c>
      <c r="L987" s="17" t="s">
        <v>21</v>
      </c>
    </row>
    <row r="988" spans="1:12" x14ac:dyDescent="0.25">
      <c r="A988" s="12">
        <v>2024</v>
      </c>
      <c r="B988" s="12" t="s">
        <v>37</v>
      </c>
      <c r="C988" s="12" t="s">
        <v>26</v>
      </c>
      <c r="D988" s="12" t="s">
        <v>24</v>
      </c>
      <c r="E988" s="13">
        <v>63966</v>
      </c>
      <c r="F988" s="23">
        <v>35148376</v>
      </c>
      <c r="G988" s="29">
        <v>3.86</v>
      </c>
      <c r="H988" s="29">
        <v>68.180000000000007</v>
      </c>
      <c r="I988" s="12">
        <v>37.299999999999997</v>
      </c>
      <c r="J988" s="12">
        <v>171.35</v>
      </c>
      <c r="K988" s="26">
        <v>81.11</v>
      </c>
      <c r="L988" s="12" t="s">
        <v>21</v>
      </c>
    </row>
    <row r="989" spans="1:12" x14ac:dyDescent="0.25">
      <c r="A989" s="17">
        <v>2024</v>
      </c>
      <c r="B989" s="17" t="s">
        <v>36</v>
      </c>
      <c r="C989" s="17" t="s">
        <v>34</v>
      </c>
      <c r="D989" s="17" t="s">
        <v>24</v>
      </c>
      <c r="E989" s="18">
        <v>37683</v>
      </c>
      <c r="F989" s="24">
        <v>25975311.579999998</v>
      </c>
      <c r="G989" s="30">
        <v>6.15</v>
      </c>
      <c r="H989" s="30">
        <v>87.83</v>
      </c>
      <c r="I989" s="17">
        <v>29.56</v>
      </c>
      <c r="J989" s="17">
        <v>270.57</v>
      </c>
      <c r="K989" s="27">
        <v>63.33</v>
      </c>
      <c r="L989" s="17" t="s">
        <v>27</v>
      </c>
    </row>
    <row r="990" spans="1:12" x14ac:dyDescent="0.25">
      <c r="A990" s="12">
        <v>2024</v>
      </c>
      <c r="B990" s="12" t="s">
        <v>12</v>
      </c>
      <c r="C990" s="12" t="s">
        <v>13</v>
      </c>
      <c r="D990" s="12" t="s">
        <v>14</v>
      </c>
      <c r="E990" s="13">
        <v>37131</v>
      </c>
      <c r="F990" s="23">
        <v>45587127.689999998</v>
      </c>
      <c r="G990" s="29">
        <v>0.59</v>
      </c>
      <c r="H990" s="29">
        <v>83.06</v>
      </c>
      <c r="I990" s="12">
        <v>0.33999999999999903</v>
      </c>
      <c r="J990" s="12">
        <v>274.2</v>
      </c>
      <c r="K990" s="26">
        <v>42.93</v>
      </c>
      <c r="L990" s="12" t="s">
        <v>21</v>
      </c>
    </row>
    <row r="991" spans="1:12" x14ac:dyDescent="0.25">
      <c r="A991" s="17">
        <v>2024</v>
      </c>
      <c r="B991" s="17" t="s">
        <v>37</v>
      </c>
      <c r="C991" s="17" t="s">
        <v>34</v>
      </c>
      <c r="D991" s="17" t="s">
        <v>24</v>
      </c>
      <c r="E991" s="18">
        <v>23576</v>
      </c>
      <c r="F991" s="24">
        <v>7378715.04</v>
      </c>
      <c r="G991" s="30">
        <v>4.9400000000000004</v>
      </c>
      <c r="H991" s="30">
        <v>92.65</v>
      </c>
      <c r="I991" s="17">
        <v>27.65</v>
      </c>
      <c r="J991" s="17">
        <v>261.8</v>
      </c>
      <c r="K991" s="27">
        <v>75.180000000000007</v>
      </c>
      <c r="L991" s="17" t="s">
        <v>15</v>
      </c>
    </row>
    <row r="992" spans="1:12" x14ac:dyDescent="0.25">
      <c r="A992" s="12">
        <v>2024</v>
      </c>
      <c r="B992" s="12" t="s">
        <v>37</v>
      </c>
      <c r="C992" s="12" t="s">
        <v>20</v>
      </c>
      <c r="D992" s="12" t="s">
        <v>14</v>
      </c>
      <c r="E992" s="13">
        <v>42266</v>
      </c>
      <c r="F992" s="23">
        <v>23557754.829999998</v>
      </c>
      <c r="G992" s="29">
        <v>0.34</v>
      </c>
      <c r="H992" s="29">
        <v>86.28</v>
      </c>
      <c r="I992" s="12">
        <v>26.49</v>
      </c>
      <c r="J992" s="12">
        <v>294.81</v>
      </c>
      <c r="K992" s="26">
        <v>51.79</v>
      </c>
      <c r="L992" s="12" t="s">
        <v>17</v>
      </c>
    </row>
    <row r="993" spans="1:12" x14ac:dyDescent="0.25">
      <c r="A993" s="17">
        <v>2024</v>
      </c>
      <c r="B993" s="17" t="s">
        <v>37</v>
      </c>
      <c r="C993" s="17" t="s">
        <v>13</v>
      </c>
      <c r="D993" s="17" t="s">
        <v>14</v>
      </c>
      <c r="E993" s="18">
        <v>9805</v>
      </c>
      <c r="F993" s="24">
        <v>4494602.4929999998</v>
      </c>
      <c r="G993" s="30">
        <v>0.27</v>
      </c>
      <c r="H993" s="30">
        <v>59.49</v>
      </c>
      <c r="I993" s="17">
        <v>16.98</v>
      </c>
      <c r="J993" s="17">
        <v>203.22</v>
      </c>
      <c r="K993" s="27">
        <v>57.32</v>
      </c>
      <c r="L993" s="17" t="s">
        <v>19</v>
      </c>
    </row>
    <row r="994" spans="1:12" x14ac:dyDescent="0.25">
      <c r="A994" s="12">
        <v>2024</v>
      </c>
      <c r="B994" s="12" t="s">
        <v>12</v>
      </c>
      <c r="C994" s="12" t="s">
        <v>18</v>
      </c>
      <c r="D994" s="12" t="s">
        <v>14</v>
      </c>
      <c r="E994" s="13">
        <v>32783</v>
      </c>
      <c r="F994" s="23">
        <v>24954402.68</v>
      </c>
      <c r="G994" s="29">
        <v>-0.12</v>
      </c>
      <c r="H994" s="29">
        <v>68.38</v>
      </c>
      <c r="I994" s="12">
        <v>18.52</v>
      </c>
      <c r="J994" s="12">
        <v>165.62</v>
      </c>
      <c r="K994" s="26">
        <v>84.08</v>
      </c>
      <c r="L994" s="12" t="s">
        <v>15</v>
      </c>
    </row>
    <row r="995" spans="1:12" x14ac:dyDescent="0.25">
      <c r="A995" s="17">
        <v>2024</v>
      </c>
      <c r="B995" s="17" t="s">
        <v>12</v>
      </c>
      <c r="C995" s="17" t="s">
        <v>30</v>
      </c>
      <c r="D995" s="17" t="s">
        <v>24</v>
      </c>
      <c r="E995" s="18">
        <v>43911</v>
      </c>
      <c r="F995" s="24">
        <v>45501962.543999903</v>
      </c>
      <c r="G995" s="30">
        <v>4.21</v>
      </c>
      <c r="H995" s="30">
        <v>45.54</v>
      </c>
      <c r="I995" s="17">
        <v>47.18</v>
      </c>
      <c r="J995" s="17">
        <v>293.87</v>
      </c>
      <c r="K995" s="27">
        <v>46.55</v>
      </c>
      <c r="L995" s="17" t="s">
        <v>27</v>
      </c>
    </row>
    <row r="996" spans="1:12" x14ac:dyDescent="0.25">
      <c r="A996" s="12">
        <v>2024</v>
      </c>
      <c r="B996" s="12" t="s">
        <v>12</v>
      </c>
      <c r="C996" s="12" t="s">
        <v>29</v>
      </c>
      <c r="D996" s="12" t="s">
        <v>24</v>
      </c>
      <c r="E996" s="13">
        <v>57073</v>
      </c>
      <c r="F996" s="23">
        <v>27851665.91</v>
      </c>
      <c r="G996" s="29">
        <v>2.61</v>
      </c>
      <c r="H996" s="29">
        <v>66.33</v>
      </c>
      <c r="I996" s="12">
        <v>8.11</v>
      </c>
      <c r="J996" s="12">
        <v>196.33</v>
      </c>
      <c r="K996" s="26">
        <v>89.62</v>
      </c>
      <c r="L996" s="12" t="s">
        <v>17</v>
      </c>
    </row>
    <row r="997" spans="1:12" x14ac:dyDescent="0.25">
      <c r="A997" s="17">
        <v>2024</v>
      </c>
      <c r="B997" s="17" t="s">
        <v>37</v>
      </c>
      <c r="C997" s="17" t="s">
        <v>22</v>
      </c>
      <c r="D997" s="17" t="s">
        <v>14</v>
      </c>
      <c r="E997" s="18">
        <v>28852</v>
      </c>
      <c r="F997" s="24">
        <v>14365866.470000001</v>
      </c>
      <c r="G997" s="30">
        <v>0.22999999999999901</v>
      </c>
      <c r="H997" s="30">
        <v>46.1</v>
      </c>
      <c r="I997" s="17">
        <v>3.47</v>
      </c>
      <c r="J997" s="17">
        <v>194.32</v>
      </c>
      <c r="K997" s="27">
        <v>86.51</v>
      </c>
      <c r="L997" s="17" t="s">
        <v>19</v>
      </c>
    </row>
    <row r="998" spans="1:12" x14ac:dyDescent="0.25">
      <c r="A998" s="12">
        <v>2024</v>
      </c>
      <c r="B998" s="12" t="s">
        <v>35</v>
      </c>
      <c r="C998" s="12" t="s">
        <v>13</v>
      </c>
      <c r="D998" s="12" t="s">
        <v>14</v>
      </c>
      <c r="E998" s="13">
        <v>26237</v>
      </c>
      <c r="F998" s="23">
        <v>30930455.537999999</v>
      </c>
      <c r="G998" s="29">
        <v>2.72</v>
      </c>
      <c r="H998" s="29">
        <v>30.37</v>
      </c>
      <c r="I998" s="12">
        <v>43.72</v>
      </c>
      <c r="J998" s="12">
        <v>205.74</v>
      </c>
      <c r="K998" s="26">
        <v>48.09</v>
      </c>
      <c r="L998" s="12" t="s">
        <v>19</v>
      </c>
    </row>
    <row r="999" spans="1:12" x14ac:dyDescent="0.25">
      <c r="A999" s="17">
        <v>2024</v>
      </c>
      <c r="B999" s="17" t="s">
        <v>12</v>
      </c>
      <c r="C999" s="17" t="s">
        <v>25</v>
      </c>
      <c r="D999" s="17" t="s">
        <v>24</v>
      </c>
      <c r="E999" s="18">
        <v>31220</v>
      </c>
      <c r="F999" s="24">
        <v>36722606.380000003</v>
      </c>
      <c r="G999" s="30">
        <v>6.53</v>
      </c>
      <c r="H999" s="30">
        <v>40.51</v>
      </c>
      <c r="I999" s="17">
        <v>32.239999999999903</v>
      </c>
      <c r="J999" s="17">
        <v>130.35</v>
      </c>
      <c r="K999" s="27">
        <v>80.87</v>
      </c>
      <c r="L999" s="17" t="s">
        <v>17</v>
      </c>
    </row>
    <row r="1000" spans="1:12" x14ac:dyDescent="0.25">
      <c r="A1000" s="12">
        <v>2024</v>
      </c>
      <c r="B1000" s="12" t="s">
        <v>36</v>
      </c>
      <c r="C1000" s="12" t="s">
        <v>33</v>
      </c>
      <c r="D1000" s="12" t="s">
        <v>24</v>
      </c>
      <c r="E1000" s="13">
        <v>15763</v>
      </c>
      <c r="F1000" s="23">
        <v>7376208.852</v>
      </c>
      <c r="G1000" s="29">
        <v>5.89</v>
      </c>
      <c r="H1000" s="29">
        <v>74.459999999999994</v>
      </c>
      <c r="I1000" s="12">
        <v>50.36</v>
      </c>
      <c r="J1000" s="12">
        <v>173.23</v>
      </c>
      <c r="K1000" s="26">
        <v>52.39</v>
      </c>
      <c r="L1000" s="12" t="s">
        <v>21</v>
      </c>
    </row>
    <row r="1001" spans="1:12" x14ac:dyDescent="0.25">
      <c r="A1001" s="17">
        <v>2024</v>
      </c>
      <c r="B1001" s="17" t="s">
        <v>36</v>
      </c>
      <c r="C1001" s="17" t="s">
        <v>23</v>
      </c>
      <c r="D1001" s="17" t="s">
        <v>24</v>
      </c>
      <c r="E1001" s="18">
        <v>27969</v>
      </c>
      <c r="F1001" s="24">
        <v>70164647.829999998</v>
      </c>
      <c r="G1001" s="30">
        <v>2.62</v>
      </c>
      <c r="H1001" s="30">
        <v>46.76</v>
      </c>
      <c r="I1001" s="17">
        <v>43.61</v>
      </c>
      <c r="J1001" s="17">
        <v>103.25</v>
      </c>
      <c r="K1001" s="27">
        <v>63.21</v>
      </c>
      <c r="L1001" s="17" t="s">
        <v>19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DD673-CDF7-4C26-884F-9FF0DCCF0369}">
  <dimension ref="A3:C98"/>
  <sheetViews>
    <sheetView topLeftCell="A67" workbookViewId="0">
      <selection activeCell="A75" sqref="A75:A89"/>
    </sheetView>
  </sheetViews>
  <sheetFormatPr defaultRowHeight="13.8" x14ac:dyDescent="0.25"/>
  <cols>
    <col min="1" max="1" width="11.8984375" bestFit="1" customWidth="1"/>
    <col min="2" max="2" width="14.69921875" bestFit="1" customWidth="1"/>
    <col min="3" max="3" width="30" bestFit="1" customWidth="1"/>
  </cols>
  <sheetData>
    <row r="3" spans="1:3" x14ac:dyDescent="0.25">
      <c r="A3" t="s">
        <v>38</v>
      </c>
      <c r="B3" t="s">
        <v>39</v>
      </c>
      <c r="C3" t="s">
        <v>40</v>
      </c>
    </row>
    <row r="4" spans="1:3" x14ac:dyDescent="0.25">
      <c r="A4" s="25">
        <v>30197331897.409035</v>
      </c>
      <c r="B4" s="1">
        <v>32842990</v>
      </c>
      <c r="C4" s="42">
        <v>30152.080000000045</v>
      </c>
    </row>
    <row r="5" spans="1:3" x14ac:dyDescent="0.25">
      <c r="A5" s="39">
        <f>GETPIVOTDATA("Revenue ($)",$A$3)</f>
        <v>30197331897.409035</v>
      </c>
      <c r="B5" s="40">
        <f>GETPIVOTDATA("Units Sold",$B$3)</f>
        <v>32842990</v>
      </c>
      <c r="C5" s="41">
        <f>GETPIVOTDATA("5G Subscribers (millions)",$C$3)</f>
        <v>30152.080000000045</v>
      </c>
    </row>
    <row r="7" spans="1:3" x14ac:dyDescent="0.25">
      <c r="A7" s="37" t="s">
        <v>41</v>
      </c>
      <c r="B7" t="s">
        <v>43</v>
      </c>
    </row>
    <row r="8" spans="1:3" x14ac:dyDescent="0.25">
      <c r="A8" s="38" t="s">
        <v>22</v>
      </c>
      <c r="B8" s="31">
        <v>1.4786567164179101</v>
      </c>
    </row>
    <row r="9" spans="1:3" x14ac:dyDescent="0.25">
      <c r="A9" s="38" t="s">
        <v>18</v>
      </c>
      <c r="B9" s="31">
        <v>1.6021666666666674</v>
      </c>
    </row>
    <row r="10" spans="1:3" x14ac:dyDescent="0.25">
      <c r="A10" s="38" t="s">
        <v>16</v>
      </c>
      <c r="B10" s="31">
        <v>1.65054054054054</v>
      </c>
    </row>
    <row r="11" spans="1:3" x14ac:dyDescent="0.25">
      <c r="A11" s="38" t="s">
        <v>13</v>
      </c>
      <c r="B11" s="31">
        <v>1.6601515151515143</v>
      </c>
    </row>
    <row r="12" spans="1:3" x14ac:dyDescent="0.25">
      <c r="A12" s="38" t="s">
        <v>20</v>
      </c>
      <c r="B12" s="31">
        <v>1.8720895522388055</v>
      </c>
    </row>
    <row r="13" spans="1:3" x14ac:dyDescent="0.25">
      <c r="A13" s="38" t="s">
        <v>28</v>
      </c>
      <c r="B13" s="31">
        <v>4.0928124999999982</v>
      </c>
    </row>
    <row r="14" spans="1:3" x14ac:dyDescent="0.25">
      <c r="A14" s="38" t="s">
        <v>26</v>
      </c>
      <c r="B14" s="31">
        <v>4.2283333333333335</v>
      </c>
    </row>
    <row r="15" spans="1:3" x14ac:dyDescent="0.25">
      <c r="A15" s="38" t="s">
        <v>33</v>
      </c>
      <c r="B15" s="31">
        <v>4.4493103448275866</v>
      </c>
    </row>
    <row r="16" spans="1:3" x14ac:dyDescent="0.25">
      <c r="A16" s="38" t="s">
        <v>25</v>
      </c>
      <c r="B16" s="31">
        <v>4.7648529411764731</v>
      </c>
    </row>
    <row r="17" spans="1:3" x14ac:dyDescent="0.25">
      <c r="A17" s="38" t="s">
        <v>30</v>
      </c>
      <c r="B17" s="31">
        <v>4.7750632911392401</v>
      </c>
    </row>
    <row r="18" spans="1:3" x14ac:dyDescent="0.25">
      <c r="A18" s="38" t="s">
        <v>34</v>
      </c>
      <c r="B18" s="31">
        <v>4.7856451612903177</v>
      </c>
    </row>
    <row r="19" spans="1:3" x14ac:dyDescent="0.25">
      <c r="A19" s="38" t="s">
        <v>23</v>
      </c>
      <c r="B19" s="31">
        <v>4.8672463768115923</v>
      </c>
    </row>
    <row r="20" spans="1:3" x14ac:dyDescent="0.25">
      <c r="A20" s="38" t="s">
        <v>29</v>
      </c>
      <c r="B20" s="31">
        <v>5.0600000000000023</v>
      </c>
    </row>
    <row r="21" spans="1:3" x14ac:dyDescent="0.25">
      <c r="A21" s="38" t="s">
        <v>32</v>
      </c>
      <c r="B21" s="31">
        <v>5.1793548387096751</v>
      </c>
    </row>
    <row r="22" spans="1:3" x14ac:dyDescent="0.25">
      <c r="A22" s="38" t="s">
        <v>31</v>
      </c>
      <c r="B22" s="31">
        <v>5.3349275362318833</v>
      </c>
    </row>
    <row r="23" spans="1:3" x14ac:dyDescent="0.25">
      <c r="A23" s="38" t="s">
        <v>42</v>
      </c>
      <c r="B23" s="31">
        <v>3.7235700000000036</v>
      </c>
    </row>
    <row r="25" spans="1:3" x14ac:dyDescent="0.25">
      <c r="A25" s="37" t="s">
        <v>41</v>
      </c>
      <c r="B25" t="s">
        <v>44</v>
      </c>
      <c r="C25" t="s">
        <v>45</v>
      </c>
    </row>
    <row r="26" spans="1:3" x14ac:dyDescent="0.25">
      <c r="A26" s="38" t="s">
        <v>32</v>
      </c>
      <c r="B26" s="31">
        <v>71.760645161290299</v>
      </c>
      <c r="C26" s="42">
        <v>27.070161290322577</v>
      </c>
    </row>
    <row r="27" spans="1:3" x14ac:dyDescent="0.25">
      <c r="A27" s="38" t="s">
        <v>23</v>
      </c>
      <c r="B27" s="31">
        <v>65.902318840579667</v>
      </c>
      <c r="C27" s="42">
        <v>31.732898550724645</v>
      </c>
    </row>
    <row r="28" spans="1:3" x14ac:dyDescent="0.25">
      <c r="A28" s="38" t="s">
        <v>25</v>
      </c>
      <c r="B28" s="31">
        <v>71.215000000000003</v>
      </c>
      <c r="C28" s="42">
        <v>37.416617647058807</v>
      </c>
    </row>
    <row r="29" spans="1:3" x14ac:dyDescent="0.25">
      <c r="A29" s="38" t="s">
        <v>26</v>
      </c>
      <c r="B29" s="31">
        <v>69.768333333333359</v>
      </c>
      <c r="C29" s="42">
        <v>33.615909090909092</v>
      </c>
    </row>
    <row r="30" spans="1:3" x14ac:dyDescent="0.25">
      <c r="A30" s="38" t="s">
        <v>16</v>
      </c>
      <c r="B30" s="31">
        <v>61.763378378378377</v>
      </c>
      <c r="C30" s="42">
        <v>24.782027027027027</v>
      </c>
    </row>
    <row r="31" spans="1:3" x14ac:dyDescent="0.25">
      <c r="A31" s="38" t="s">
        <v>20</v>
      </c>
      <c r="B31" s="31">
        <v>63.503880597014927</v>
      </c>
      <c r="C31" s="42">
        <v>22.949701492537322</v>
      </c>
    </row>
    <row r="32" spans="1:3" x14ac:dyDescent="0.25">
      <c r="A32" s="38" t="s">
        <v>13</v>
      </c>
      <c r="B32" s="31">
        <v>52.967121212121206</v>
      </c>
      <c r="C32" s="42">
        <v>28.960454545454549</v>
      </c>
    </row>
    <row r="33" spans="1:3" x14ac:dyDescent="0.25">
      <c r="A33" s="38" t="s">
        <v>18</v>
      </c>
      <c r="B33" s="31">
        <v>56.870000000000005</v>
      </c>
      <c r="C33" s="42">
        <v>18.77249999999999</v>
      </c>
    </row>
    <row r="34" spans="1:3" x14ac:dyDescent="0.25">
      <c r="A34" s="38" t="s">
        <v>22</v>
      </c>
      <c r="B34" s="31">
        <v>61.825820895522376</v>
      </c>
      <c r="C34" s="42">
        <v>26.898805970149255</v>
      </c>
    </row>
    <row r="35" spans="1:3" x14ac:dyDescent="0.25">
      <c r="A35" s="38" t="s">
        <v>30</v>
      </c>
      <c r="B35" s="31">
        <v>65.568481012658253</v>
      </c>
      <c r="C35" s="42">
        <v>31.128354430379726</v>
      </c>
    </row>
    <row r="36" spans="1:3" x14ac:dyDescent="0.25">
      <c r="A36" s="38" t="s">
        <v>33</v>
      </c>
      <c r="B36" s="31">
        <v>77.961551724137934</v>
      </c>
      <c r="C36" s="42">
        <v>31.014999999999997</v>
      </c>
    </row>
    <row r="37" spans="1:3" x14ac:dyDescent="0.25">
      <c r="A37" s="38" t="s">
        <v>29</v>
      </c>
      <c r="B37" s="31">
        <v>71.802898550724649</v>
      </c>
      <c r="C37" s="42">
        <v>27.99565217391303</v>
      </c>
    </row>
    <row r="38" spans="1:3" x14ac:dyDescent="0.25">
      <c r="A38" s="38" t="s">
        <v>34</v>
      </c>
      <c r="B38" s="31">
        <v>72.133064516129039</v>
      </c>
      <c r="C38" s="42">
        <v>38.863548387096756</v>
      </c>
    </row>
    <row r="39" spans="1:3" x14ac:dyDescent="0.25">
      <c r="A39" s="38" t="s">
        <v>28</v>
      </c>
      <c r="B39" s="31">
        <v>78.231562499999995</v>
      </c>
      <c r="C39" s="42">
        <v>35.571093750000003</v>
      </c>
    </row>
    <row r="40" spans="1:3" x14ac:dyDescent="0.25">
      <c r="A40" s="38" t="s">
        <v>31</v>
      </c>
      <c r="B40" s="31">
        <v>64.278405797101456</v>
      </c>
      <c r="C40" s="42">
        <v>35.274202898550705</v>
      </c>
    </row>
    <row r="41" spans="1:3" x14ac:dyDescent="0.25">
      <c r="A41" s="38" t="s">
        <v>42</v>
      </c>
      <c r="B41" s="31">
        <v>66.889720000000011</v>
      </c>
      <c r="C41" s="42">
        <v>30.152080000000058</v>
      </c>
    </row>
    <row r="43" spans="1:3" x14ac:dyDescent="0.25">
      <c r="A43" s="37" t="s">
        <v>41</v>
      </c>
      <c r="B43" t="s">
        <v>46</v>
      </c>
      <c r="C43" t="s">
        <v>47</v>
      </c>
    </row>
    <row r="44" spans="1:3" x14ac:dyDescent="0.25">
      <c r="A44" s="38" t="s">
        <v>15</v>
      </c>
      <c r="B44" s="42">
        <v>183.51468926553667</v>
      </c>
      <c r="C44" s="31">
        <v>66.817457627118642</v>
      </c>
    </row>
    <row r="45" spans="1:3" x14ac:dyDescent="0.25">
      <c r="A45" s="38" t="s">
        <v>27</v>
      </c>
      <c r="B45" s="42">
        <v>171.4513541666665</v>
      </c>
      <c r="C45" s="31">
        <v>65.896354166666669</v>
      </c>
    </row>
    <row r="46" spans="1:3" x14ac:dyDescent="0.25">
      <c r="A46" s="38" t="s">
        <v>17</v>
      </c>
      <c r="B46" s="42">
        <v>176.34697560975593</v>
      </c>
      <c r="C46" s="31">
        <v>68.334292682926943</v>
      </c>
    </row>
    <row r="47" spans="1:3" x14ac:dyDescent="0.25">
      <c r="A47" s="38" t="s">
        <v>19</v>
      </c>
      <c r="B47" s="42">
        <v>187.98175000000001</v>
      </c>
      <c r="C47" s="31">
        <v>68.682449999999932</v>
      </c>
    </row>
    <row r="48" spans="1:3" x14ac:dyDescent="0.25">
      <c r="A48" s="38" t="s">
        <v>21</v>
      </c>
      <c r="B48" s="42">
        <v>177.33327433628327</v>
      </c>
      <c r="C48" s="31">
        <v>66.013716814159295</v>
      </c>
    </row>
    <row r="49" spans="1:3" x14ac:dyDescent="0.25">
      <c r="A49" s="38" t="s">
        <v>42</v>
      </c>
      <c r="B49" s="42">
        <v>179.22555999999992</v>
      </c>
      <c r="C49" s="31">
        <v>67.142909999999958</v>
      </c>
    </row>
    <row r="56" spans="1:3" x14ac:dyDescent="0.25">
      <c r="A56" s="37" t="s">
        <v>41</v>
      </c>
      <c r="B56" t="s">
        <v>38</v>
      </c>
    </row>
    <row r="57" spans="1:3" x14ac:dyDescent="0.25">
      <c r="A57" s="38" t="s">
        <v>15</v>
      </c>
      <c r="B57" s="25">
        <v>5685065892.8899965</v>
      </c>
    </row>
    <row r="58" spans="1:3" x14ac:dyDescent="0.25">
      <c r="A58" s="38" t="s">
        <v>27</v>
      </c>
      <c r="B58" s="25">
        <v>5578138783.9320002</v>
      </c>
    </row>
    <row r="59" spans="1:3" x14ac:dyDescent="0.25">
      <c r="A59" s="38" t="s">
        <v>17</v>
      </c>
      <c r="B59" s="25">
        <v>6892401888.6539946</v>
      </c>
    </row>
    <row r="60" spans="1:3" x14ac:dyDescent="0.25">
      <c r="A60" s="38" t="s">
        <v>19</v>
      </c>
      <c r="B60" s="25">
        <v>5444651595.5239983</v>
      </c>
    </row>
    <row r="61" spans="1:3" x14ac:dyDescent="0.25">
      <c r="A61" s="38" t="s">
        <v>21</v>
      </c>
      <c r="B61" s="25">
        <v>6597073736.4089966</v>
      </c>
    </row>
    <row r="62" spans="1:3" x14ac:dyDescent="0.25">
      <c r="A62" s="38" t="s">
        <v>42</v>
      </c>
      <c r="B62" s="25">
        <v>30197331897.408985</v>
      </c>
    </row>
    <row r="74" spans="1:2" x14ac:dyDescent="0.25">
      <c r="A74" s="37" t="s">
        <v>41</v>
      </c>
      <c r="B74" t="s">
        <v>38</v>
      </c>
    </row>
    <row r="75" spans="1:2" x14ac:dyDescent="0.25">
      <c r="A75" s="38" t="s">
        <v>31</v>
      </c>
      <c r="B75" s="25">
        <v>1995838823.5499995</v>
      </c>
    </row>
    <row r="76" spans="1:2" x14ac:dyDescent="0.25">
      <c r="A76" s="38" t="s">
        <v>28</v>
      </c>
      <c r="B76" s="25">
        <v>2253344206.369998</v>
      </c>
    </row>
    <row r="77" spans="1:2" x14ac:dyDescent="0.25">
      <c r="A77" s="38" t="s">
        <v>34</v>
      </c>
      <c r="B77" s="25">
        <v>1755376406.5219989</v>
      </c>
    </row>
    <row r="78" spans="1:2" x14ac:dyDescent="0.25">
      <c r="A78" s="38" t="s">
        <v>29</v>
      </c>
      <c r="B78" s="25">
        <v>2176406512.7860003</v>
      </c>
    </row>
    <row r="79" spans="1:2" x14ac:dyDescent="0.25">
      <c r="A79" s="38" t="s">
        <v>33</v>
      </c>
      <c r="B79" s="25">
        <v>2242308203.8939996</v>
      </c>
    </row>
    <row r="80" spans="1:2" x14ac:dyDescent="0.25">
      <c r="A80" s="38" t="s">
        <v>30</v>
      </c>
      <c r="B80" s="25">
        <v>2762722960.8159986</v>
      </c>
    </row>
    <row r="81" spans="1:2" x14ac:dyDescent="0.25">
      <c r="A81" s="38" t="s">
        <v>22</v>
      </c>
      <c r="B81" s="25">
        <v>1587149637.6550007</v>
      </c>
    </row>
    <row r="82" spans="1:2" x14ac:dyDescent="0.25">
      <c r="A82" s="38" t="s">
        <v>18</v>
      </c>
      <c r="B82" s="25">
        <v>1254092840.6260002</v>
      </c>
    </row>
    <row r="83" spans="1:2" x14ac:dyDescent="0.25">
      <c r="A83" s="38" t="s">
        <v>13</v>
      </c>
      <c r="B83" s="25">
        <v>1511364942.9710007</v>
      </c>
    </row>
    <row r="84" spans="1:2" x14ac:dyDescent="0.25">
      <c r="A84" s="38" t="s">
        <v>20</v>
      </c>
      <c r="B84" s="25">
        <v>1675543238.3420002</v>
      </c>
    </row>
    <row r="85" spans="1:2" x14ac:dyDescent="0.25">
      <c r="A85" s="38" t="s">
        <v>16</v>
      </c>
      <c r="B85" s="25">
        <v>1773860408.6230006</v>
      </c>
    </row>
    <row r="86" spans="1:2" x14ac:dyDescent="0.25">
      <c r="A86" s="38" t="s">
        <v>26</v>
      </c>
      <c r="B86" s="25">
        <v>2129075741.9519999</v>
      </c>
    </row>
    <row r="87" spans="1:2" x14ac:dyDescent="0.25">
      <c r="A87" s="38" t="s">
        <v>25</v>
      </c>
      <c r="B87" s="25">
        <v>2595994545.7780008</v>
      </c>
    </row>
    <row r="88" spans="1:2" x14ac:dyDescent="0.25">
      <c r="A88" s="38" t="s">
        <v>23</v>
      </c>
      <c r="B88" s="25">
        <v>2097650412.6099989</v>
      </c>
    </row>
    <row r="89" spans="1:2" x14ac:dyDescent="0.25">
      <c r="A89" s="38" t="s">
        <v>32</v>
      </c>
      <c r="B89" s="25">
        <v>2386603014.9139996</v>
      </c>
    </row>
    <row r="90" spans="1:2" x14ac:dyDescent="0.25">
      <c r="A90" s="38" t="s">
        <v>42</v>
      </c>
      <c r="B90" s="25">
        <v>30197331897.408997</v>
      </c>
    </row>
    <row r="93" spans="1:2" x14ac:dyDescent="0.25">
      <c r="A93" s="37" t="s">
        <v>41</v>
      </c>
      <c r="B93" t="s">
        <v>39</v>
      </c>
    </row>
    <row r="94" spans="1:2" x14ac:dyDescent="0.25">
      <c r="A94" s="38" t="s">
        <v>12</v>
      </c>
      <c r="B94" s="1">
        <v>8535812</v>
      </c>
    </row>
    <row r="95" spans="1:2" x14ac:dyDescent="0.25">
      <c r="A95" s="38" t="s">
        <v>35</v>
      </c>
      <c r="B95" s="1">
        <v>7856949</v>
      </c>
    </row>
    <row r="96" spans="1:2" x14ac:dyDescent="0.25">
      <c r="A96" s="38" t="s">
        <v>36</v>
      </c>
      <c r="B96" s="1">
        <v>8856944</v>
      </c>
    </row>
    <row r="97" spans="1:2" x14ac:dyDescent="0.25">
      <c r="A97" s="38" t="s">
        <v>37</v>
      </c>
      <c r="B97" s="1">
        <v>7593285</v>
      </c>
    </row>
    <row r="98" spans="1:2" x14ac:dyDescent="0.25">
      <c r="A98" s="38" t="s">
        <v>42</v>
      </c>
      <c r="B98" s="1">
        <v>32842990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FB01A-BE95-4E89-B4D3-2271DD7C0A4D}">
  <dimension ref="A1"/>
  <sheetViews>
    <sheetView showGridLines="0" tabSelected="1" zoomScale="112" zoomScaleNormal="112" workbookViewId="0">
      <selection activeCell="L36" sqref="L36"/>
    </sheetView>
  </sheetViews>
  <sheetFormatPr defaultRowHeight="13.8"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Expanded_ Main Dataset</vt:lpstr>
      <vt:lpstr>copy data</vt:lpstr>
      <vt:lpstr>Pivot Table</vt:lpstr>
      <vt:lpstr>DASHBORD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ugam yeole</cp:lastModifiedBy>
  <dcterms:created xsi:type="dcterms:W3CDTF">2025-11-01T08:19:35Z</dcterms:created>
  <dcterms:modified xsi:type="dcterms:W3CDTF">2026-05-21T04:18:19Z</dcterms:modified>
</cp:coreProperties>
</file>